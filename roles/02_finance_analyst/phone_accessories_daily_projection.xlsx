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d3e215dd1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c5032db1a04790"/>
    <x:sheet xmlns:r="http://schemas.openxmlformats.org/officeDocument/2006/relationships" name="Daily" sheetId="2" r:id="R5e87d6e16f7d4e71"/>
    <x:sheet xmlns:r="http://schemas.openxmlformats.org/officeDocument/2006/relationships" name="Inputs" sheetId="3" r:id="Re2c800a13e4b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.00;($#,##0.00);&quot;—&quot;"/>
    <x:numFmt numFmtId="201" formatCode="#,##0;(#,##0);&quot;—&quot;"/>
    <x:numFmt numFmtId="202" formatCode="0.00%"/>
    <x:numFmt numFmtId="203" formatCode="mm/dd/yy"/>
    <x:numFmt numFmtId="204" formatCode="#,##0.0;(#,##0.0);&quot;—&quot;"/>
    <x:numFmt numFmtId="205" formatCode="0.0"/>
    <x:numFmt numFmtId="206" formatCode="#,##0.0"/>
  </x:numFmts>
  <x:fonts count="9">
    <x:font>
      <x:sz val="11"/>
      <x:name val="Carlito"/>
    </x:font>
    <x:font>
      <x:sz val="10"/>
      <x:color rgb="FF16324F"/>
      <x:name val="Arial"/>
    </x:font>
    <x:font>
      <x:b/>
      <x:sz val="16"/>
      <x:color rgb="FF16324F"/>
      <x:name val="Arial"/>
    </x:font>
    <x:font>
      <x:b/>
      <x:sz val="10"/>
      <x:color rgb="FFFFFFFF"/>
      <x:name val="Arial"/>
    </x:font>
    <x:font>
      <x:sz val="10"/>
      <x:color rgb="FF2563EB"/>
      <x:name val="Arial"/>
    </x:font>
    <x:font>
      <x:sz val="10"/>
      <x:color rgb="FF000000"/>
      <x:name val="Arial"/>
    </x:font>
    <x:font>
      <x:sz val="10"/>
      <x:color rgb="FF15803D"/>
      <x:name val="Arial"/>
    </x:font>
    <x:font>
      <x:b/>
      <x:sz val="10"/>
      <x:color rgb="FF16324F"/>
      <x:name val="Arial"/>
    </x:font>
    <x:font>
      <x:i/>
      <x:sz val="10"/>
      <x:color rgb="FF1632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2F6"/>
      </x:patternFill>
    </x:fill>
    <x:fill>
      <x:patternFill patternType="solid">
        <x:fgColor rgb="FFE7F2EA"/>
      </x:patternFill>
    </x:fill>
    <x:fill>
      <x:patternFill patternType="solid">
        <x:fgColor rgb="FFE7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7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2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c26daf75c4275" /><Relationship Type="http://schemas.openxmlformats.org/officeDocument/2006/relationships/theme" Target="/xl/theme/theme1.xml" Id="R714d07eb49df4943" /><Relationship Type="http://schemas.openxmlformats.org/officeDocument/2006/relationships/sharedStrings" Target="/xl/sharedStrings.xml" Id="R4ea04c99fa2045ac" /><Relationship Type="http://schemas.openxmlformats.org/officeDocument/2006/relationships/worksheet" Target="/xl/worksheets/sheet1.xml" Id="Rb3c5032db1a04790" /><Relationship Type="http://schemas.openxmlformats.org/officeDocument/2006/relationships/worksheet" Target="/xl/worksheets/sheet2.xml" Id="R5e87d6e16f7d4e71" /><Relationship Type="http://schemas.openxmlformats.org/officeDocument/2006/relationships/worksheet" Target="/xl/worksheets/sheet3.xml" Id="Re2c800a13e4b41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764266a5d74405" /><Relationship Type="http://schemas.openxmlformats.org/officeDocument/2006/relationships/chart" Target="/xl/drawings/charts/chart2.xml" Id="R4e3f9c139d3b49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Cumulative revenue and all project costs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Cumulative revenue</c:v>
          </c:tx>
          <c:spPr>
            <a:ln xmlns:a="http://schemas.openxmlformats.org/drawingml/2006/main" w="23813">
              <a:solidFill>
                <a:srgbClr val="15803D"/>
              </a:solidFill>
              <a:prstDash val="solid"/>
            </a:ln>
          </c:spPr>
          <c:marker>
            <c:symbol val="none"/>
          </c:marker>
          <c:cat>
            <c:strRef>
              <c:f>'Daily'!$AE$6:$AE$98</c:f>
              <c:strCache>
                <c:ptCount val="0"/>
              </c:strCache>
            </c:strRef>
          </c:cat>
          <c:val>
            <c:numRef>
              <c:f>'Daily'!$AF$6:$AF$98</c:f>
              <c:numCache>
                <c:formatCode>$#,##0.00;($#,##0.00);"—"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Cumulative costs</c:v>
          </c:tx>
          <c:spPr>
            <a:ln xmlns:a="http://schemas.openxmlformats.org/drawingml/2006/main" w="23813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'Daily'!$AE$6:$AE$98</c:f>
              <c:strCache>
                <c:ptCount val="0"/>
              </c:strCache>
            </c:strRef>
          </c:cat>
          <c:val>
            <c:numRef>
              <c:f>'Daily'!$AG$6:$AG$98</c:f>
              <c:numCache>
                <c:formatCode>$#,##0.00;($#,##0.00);"—"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All costs by component ($34,657.04 at the base assumptions)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16324F"/>
            </a:solidFill>
          </c:spPr>
          <c:invertIfNegative val="0"/>
          <c:cat>
            <c:strRef>
              <c:f>'Summary'!$E$6:$E$16</c:f>
              <c:strCache>
                <c:ptCount val="0"/>
              </c:strCache>
            </c:strRef>
          </c:cat>
          <c:val>
            <c:numRef>
              <c:f>'Summary'!$F$6:$F$16</c:f>
              <c:numCache>
                <c:formatCode>$#,##0.00;($#,##0.00);"—"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28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764266a5d74405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8</xdr:col>
      <xdr:colOff>0</xdr:colOff>
      <xdr:row>67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3f9c139d3b49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7de0e3822c41ec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" hidden="0" customWidth="1"/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2"/>
      <x:c r="B2" s="3" t="str">
        <x:v>Phone accessories | daily projection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/>
      <x:c r="B3" s="2" t="str">
        <x:v>June 1–August 31, 2027. USD. Required sales at the proposed $18 price, not verified demand.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2"/>
      <x:c r="B5" s="7" t="str">
        <x:v>Three-month result</x:v>
      </x:c>
      <x:c r="C5" s="7" t="str">
        <x:v>Amount</x:v>
      </x:c>
      <x:c r="D5" s="2"/>
      <x:c r="E5" s="7" t="str">
        <x:v>Cost component</x:v>
      </x:c>
      <x:c r="F5" s="7" t="str">
        <x:v>Total</x:v>
      </x:c>
      <x:c r="G5" s="2" t="str"/>
      <x:c r="H5" s="2" t="str"/>
      <x:c r="I5" s="2"/>
      <x:c r="J5" s="7" t="str">
        <x:v>Cash and sales assumptions</x:v>
      </x:c>
      <x:c r="K5" s="7" t="str"/>
      <x:c r="L5" s="7" t="str"/>
      <x:c r="M5" s="7" t="str"/>
      <x:c r="N5" s="7" t="str"/>
    </x:row>
    <x:row r="6" ht="22" customHeight="1">
      <x:c r="A6" s="2"/>
      <x:c r="B6" s="2" t="str">
        <x:v>Items sold</x:v>
      </x:c>
      <x:c r="C6" s="12" t="n">
        <x:f>'Daily'!F98</x:f>
        <x:v>1926</x:v>
      </x:c>
      <x:c r="D6" s="2"/>
      <x:c r="E6" s="2" t="str">
        <x:v>Staffing</x:v>
      </x:c>
      <x:c r="F6" s="10" t="n">
        <x:f>SUM('Daily'!H6:H98)</x:f>
        <x:v>16192</x:v>
      </x:c>
      <x:c r="G6" s="2"/>
      <x:c r="H6" s="2"/>
      <x:c r="I6" s="2"/>
      <x:c r="J6" s="2" t="str">
        <x:v>$2,500 deposit is held until September 7.</x:v>
      </x:c>
      <x:c r="K6" s="2"/>
      <x:c r="L6" s="2"/>
      <x:c r="M6" s="2"/>
      <x:c r="N6" s="2"/>
    </x:row>
    <x:row r="7" ht="22" customHeight="1">
      <x:c r="A7" s="2"/>
      <x:c r="B7" s="2" t="str">
        <x:v>Revenue</x:v>
      </x:c>
      <x:c r="C7" s="10" t="n">
        <x:f>'Daily'!U98</x:f>
        <x:v>34668</x:v>
      </x:c>
      <x:c r="D7" s="2"/>
      <x:c r="E7" s="2" t="str">
        <x:v>Rent</x:v>
      </x:c>
      <x:c r="F7" s="10" t="n">
        <x:f>SUM('Daily'!I6:I98)</x:f>
        <x:v>7500</x:v>
      </x:c>
      <x:c r="G7" s="2"/>
      <x:c r="H7" s="2"/>
      <x:c r="I7" s="2"/>
      <x:c r="J7" s="2" t="str">
        <x:v>Refund assumes no damage or unpaid rent.</x:v>
      </x:c>
      <x:c r="K7" s="2"/>
      <x:c r="L7" s="2"/>
      <x:c r="M7" s="2"/>
      <x:c r="N7" s="2"/>
    </x:row>
    <x:row r="8" ht="22" customHeight="1">
      <x:c r="A8" s="2"/>
      <x:c r="B8" s="2" t="str">
        <x:v>All project costs</x:v>
      </x:c>
      <x:c r="C8" s="10" t="n">
        <x:f>'Daily'!V98</x:f>
        <x:v>34657.040000000015</x:v>
      </x:c>
      <x:c r="D8" s="2"/>
      <x:c r="E8" s="2" t="str">
        <x:v>Stock purchases</x:v>
      </x:c>
      <x:c r="F8" s="10" t="n">
        <x:f>SUM('Daily'!R6:R98)</x:f>
        <x:v>7800</x:v>
      </x:c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/>
      <x:c r="B9" s="37" t="str">
        <x:v>Project profit</x:v>
      </x:c>
      <x:c r="C9" s="38" t="n">
        <x:f>'Daily'!W98</x:f>
        <x:v>10.959999999984575</x:v>
      </x:c>
      <x:c r="D9" s="2"/>
      <x:c r="E9" s="2" t="str">
        <x:v>Card fees</x:v>
      </x:c>
      <x:c r="F9" s="10" t="n">
        <x:f>SUM('Daily'!S6:S98)</x:f>
        <x:v>1040.0400000000004</x:v>
      </x:c>
      <x:c r="G9" s="2"/>
      <x:c r="H9" s="2"/>
      <x:c r="I9" s="2"/>
      <x:c r="J9" s="2" t="str">
        <x:v>All stock purchases are charged to the project.</x:v>
      </x:c>
      <x:c r="K9" s="2"/>
      <x:c r="L9" s="2"/>
      <x:c r="M9" s="2"/>
      <x:c r="N9" s="2"/>
    </x:row>
    <x:row r="10" ht="22" customHeight="1">
      <x:c r="A10" s="2"/>
      <x:c r="B10" s="2" t="str">
        <x:v>Required conversion</x:v>
      </x:c>
      <x:c r="C10" s="47" t="n">
        <x:f>'Inputs'!C30</x:f>
        <x:v>0.029613684412838754</x:v>
      </x:c>
      <x:c r="D10" s="2"/>
      <x:c r="E10" s="2" t="str">
        <x:v>Display tables</x:v>
      </x:c>
      <x:c r="F10" s="10" t="n">
        <x:f>SUM('Daily'!M6:M98)</x:f>
        <x:v>700</x:v>
      </x:c>
      <x:c r="G10" s="2"/>
      <x:c r="H10" s="2"/>
      <x:c r="I10" s="2"/>
      <x:c r="J10" s="2" t="str">
        <x:v>No resale proceeds from equipment or stock.</x:v>
      </x:c>
      <x:c r="K10" s="2"/>
      <x:c r="L10" s="2"/>
      <x:c r="M10" s="2"/>
      <x:c r="N10" s="2"/>
    </x:row>
    <x:row r="11" ht="22" customHeight="1">
      <x:c r="A11" s="2"/>
      <x:c r="B11" s="2" t="str">
        <x:v>Average items / day</x:v>
      </x:c>
      <x:c r="C11" s="36" t="n">
        <x:f>'Daily'!F98/('Inputs'!C25-'Inputs'!C24+1)</x:f>
        <x:v>20.934782608695652</x:v>
      </x:c>
      <x:c r="D11" s="2"/>
      <x:c r="E11" s="2" t="str">
        <x:v>Launch promotion</x:v>
      </x:c>
      <x:c r="F11" s="10" t="n">
        <x:f>SUM('Daily'!P6:P98)</x:f>
        <x:v>300</x:v>
      </x:c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/>
      <x:c r="B12" s="2" t="str">
        <x:v>Ending cash, August 31</x:v>
      </x:c>
      <x:c r="C12" s="10" t="n">
        <x:f>'Daily'!AC98</x:f>
        <x:v>17510.960000000003</x:v>
      </x:c>
      <x:c r="D12" s="2"/>
      <x:c r="E12" s="2" t="str">
        <x:v>Vendor permit</x:v>
      </x:c>
      <x:c r="F12" s="10" t="n">
        <x:f>SUM('Daily'!O6:O98)</x:f>
        <x:v>300</x:v>
      </x:c>
      <x:c r="G12" s="2"/>
      <x:c r="H12" s="2"/>
      <x:c r="I12" s="2"/>
      <x:c r="J12" s="2" t="str">
        <x:v>Weekly orders cover the next seven days.</x:v>
      </x:c>
      <x:c r="K12" s="2"/>
      <x:c r="L12" s="2"/>
      <x:c r="M12" s="2"/>
      <x:c r="N12" s="2"/>
    </x:row>
    <x:row r="13" ht="22" customHeight="1">
      <x:c r="A13" s="2"/>
      <x:c r="B13" s="2" t="str">
        <x:v>Cash after deposit refund</x:v>
      </x:c>
      <x:c r="C13" s="10" t="n">
        <x:f>'Daily'!AC99</x:f>
        <x:v>20010.960000000003</x:v>
      </x:c>
      <x:c r="D13" s="2"/>
      <x:c r="E13" s="2" t="str">
        <x:v>Insurance</x:v>
      </x:c>
      <x:c r="F13" s="10" t="n">
        <x:f>SUM('Daily'!K6:K98)</x:f>
        <x:v>300</x:v>
      </x:c>
      <x:c r="G13" s="2"/>
      <x:c r="H13" s="2"/>
      <x:c r="I13" s="2"/>
      <x:c r="J13" s="2" t="str">
        <x:v>August traffic is 30% below the May pattern.</x:v>
      </x:c>
      <x:c r="K13" s="2"/>
      <x:c r="L13" s="2"/>
      <x:c r="M13" s="2"/>
      <x:c r="N13" s="2"/>
    </x:row>
    <x:row r="14" ht="22" customHeight="1">
      <x:c r="A14" s="2"/>
      <x:c r="B14" s="2" t="str">
        <x:v>Minimum cash before receipts</x:v>
      </x:c>
      <x:c r="C14" s="10" t="n">
        <x:f>MIN('Daily'!AB6:AB99)</x:f>
        <x:v>11940.9</x:v>
      </x:c>
      <x:c r="D14" s="2"/>
      <x:c r="E14" s="2" t="str">
        <x:v>Cleaning</x:v>
      </x:c>
      <x:c r="F14" s="10" t="n">
        <x:f>SUM('Daily'!L6:L98)</x:f>
        <x:v>240</x:v>
      </x:c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 t="str">
        <x:v>Unsold items, no proceeds</x:v>
      </x:c>
      <x:c r="C15" s="12" t="n">
        <x:f>'Daily'!X98</x:f>
        <x:v>24</x:v>
      </x:c>
      <x:c r="D15" s="2"/>
      <x:c r="E15" s="2" t="str">
        <x:v>Portable sign</x:v>
      </x:c>
      <x:c r="F15" s="10" t="n">
        <x:f>SUM('Daily'!N6:N98)</x:f>
        <x:v>150</x:v>
      </x:c>
      <x:c r="G15" s="2"/>
      <x:c r="H15" s="2"/>
      <x:c r="I15" s="2"/>
      <x:c r="J15" s="2" t="str">
        <x:v>Edit blue values on Inputs to change assumptions.</x:v>
      </x:c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 t="str">
        <x:v>Terminal rental</x:v>
      </x:c>
      <x:c r="F16" s="10" t="n">
        <x:f>SUM('Daily'!J6:J98)</x:f>
        <x:v>135</x:v>
      </x:c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39" t="str">
        <x:v>Total costs</x:v>
      </x:c>
      <x:c r="F17" s="40" t="n">
        <x:f>SUM(F6:F16)</x:f>
        <x:v>34657.04</x:v>
      </x:c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2" customHeight="1">
      <x:c r="A19" s="2"/>
      <x:c r="B19" s="7" t="str">
        <x:v>Period</x:v>
      </x:c>
      <x:c r="C19" s="7" t="str">
        <x:v>Visits</x:v>
      </x:c>
      <x:c r="D19" s="7" t="str">
        <x:v>Items sold</x:v>
      </x:c>
      <x:c r="E19" s="7" t="str">
        <x:v>Revenue</x:v>
      </x:c>
      <x:c r="F19" s="7" t="str">
        <x:v>Costs</x:v>
      </x:c>
      <x:c r="G19" s="7" t="str">
        <x:v>Profit</x:v>
      </x:c>
      <x:c r="H19" s="7" t="str">
        <x:v>Ending cash</x:v>
      </x:c>
      <x:c r="I19" s="2"/>
      <x:c r="J19" s="2"/>
      <x:c r="K19" s="2"/>
      <x:c r="L19" s="2"/>
      <x:c r="M19" s="2"/>
      <x:c r="N19" s="2"/>
    </x:row>
    <x:row r="20" ht="22" customHeight="1">
      <x:c r="A20" s="2"/>
      <x:c r="B20" s="2" t="str">
        <x:v>Setup</x:v>
      </x:c>
      <x:c r="C20" s="42" t="n">
        <x:f>SUM('Daily'!C6:C6)</x:f>
        <x:v>0</x:v>
      </x:c>
      <x:c r="D20" s="12" t="n">
        <x:f>SUM('Daily'!E6:E6)</x:f>
        <x:v>0</x:v>
      </x:c>
      <x:c r="E20" s="10" t="n">
        <x:f>SUM('Daily'!G6:G6)</x:f>
        <x:v>0</x:v>
      </x:c>
      <x:c r="F20" s="10" t="n">
        <x:f>SUM('Daily'!T6:T6)</x:f>
        <x:v>5150</x:v>
      </x:c>
      <x:c r="G20" s="10" t="n">
        <x:f>E20-F20</x:f>
        <x:v>-5150</x:v>
      </x:c>
      <x:c r="H20" s="10" t="n">
        <x:f>'Daily'!AC6</x:f>
        <x:v>12350</x:v>
      </x:c>
      <x:c r="I20" s="2"/>
      <x:c r="J20" s="2"/>
      <x:c r="K20" s="2"/>
      <x:c r="L20" s="2"/>
      <x:c r="M20" s="2"/>
      <x:c r="N20" s="2"/>
    </x:row>
    <x:row r="21" ht="22" customHeight="1">
      <x:c r="A21" s="2"/>
      <x:c r="B21" s="2" t="str">
        <x:v>June</x:v>
      </x:c>
      <x:c r="C21" s="42" t="n">
        <x:f>SUM('Daily'!C7:C36)</x:f>
        <x:v>23122</x:v>
      </x:c>
      <x:c r="D21" s="12" t="n">
        <x:f>SUM('Daily'!E7:E36)</x:f>
        <x:v>685</x:v>
      </x:c>
      <x:c r="E21" s="10" t="n">
        <x:f>SUM('Daily'!G7:G36)</x:f>
        <x:v>12330</x:v>
      </x:c>
      <x:c r="F21" s="10" t="n">
        <x:f>SUM('Daily'!T7:T36)</x:f>
        <x:v>8074.900000000003</x:v>
      </x:c>
      <x:c r="G21" s="10" t="n">
        <x:f>E21-F21</x:f>
        <x:v>4255.099999999997</x:v>
      </x:c>
      <x:c r="H21" s="10" t="n">
        <x:f>'Daily'!AC36</x:f>
        <x:v>16605.1</x:v>
      </x:c>
      <x:c r="I21" s="2"/>
      <x:c r="J21" s="2"/>
      <x:c r="K21" s="2"/>
      <x:c r="L21" s="2"/>
      <x:c r="M21" s="2"/>
      <x:c r="N21" s="2"/>
    </x:row>
    <x:row r="22" ht="22" customHeight="1">
      <x:c r="A22" s="2"/>
      <x:c r="B22" s="2" t="str">
        <x:v>July</x:v>
      </x:c>
      <x:c r="C22" s="42" t="n">
        <x:f>SUM('Daily'!C37:C67)</x:f>
        <x:v>24706</x:v>
      </x:c>
      <x:c r="D22" s="12" t="n">
        <x:f>SUM('Daily'!E37:E67)</x:f>
        <x:v>731</x:v>
      </x:c>
      <x:c r="E22" s="10" t="n">
        <x:f>SUM('Daily'!G37:G67)</x:f>
        <x:v>13158</x:v>
      </x:c>
      <x:c r="F22" s="10" t="n">
        <x:f>SUM('Daily'!T37:T67)</x:f>
        <x:v>11175.740000000002</x:v>
      </x:c>
      <x:c r="G22" s="10" t="n">
        <x:f>E22-F22</x:f>
        <x:v>1982.2599999999984</x:v>
      </x:c>
      <x:c r="H22" s="10" t="n">
        <x:f>'Daily'!AC67</x:f>
        <x:v>18587.360000000004</x:v>
      </x:c>
      <x:c r="I22" s="2"/>
      <x:c r="J22" s="2"/>
      <x:c r="K22" s="2"/>
      <x:c r="L22" s="2"/>
      <x:c r="M22" s="2"/>
      <x:c r="N22" s="2"/>
    </x:row>
    <x:row r="23" ht="22" customHeight="1">
      <x:c r="A23" s="2"/>
      <x:c r="B23" s="2" t="str">
        <x:v>August</x:v>
      </x:c>
      <x:c r="C23" s="42" t="n">
        <x:f>SUM('Daily'!C68:C98)</x:f>
        <x:v>17209.5</x:v>
      </x:c>
      <x:c r="D23" s="12" t="n">
        <x:f>SUM('Daily'!E68:E98)</x:f>
        <x:v>510</x:v>
      </x:c>
      <x:c r="E23" s="10" t="n">
        <x:f>SUM('Daily'!G68:G98)</x:f>
        <x:v>9180</x:v>
      </x:c>
      <x:c r="F23" s="10" t="n">
        <x:f>SUM('Daily'!T68:T98)</x:f>
        <x:v>10256.399999999998</x:v>
      </x:c>
      <x:c r="G23" s="10" t="n">
        <x:f>E23-F23</x:f>
        <x:v>-1076.3999999999978</x:v>
      </x:c>
      <x:c r="H23" s="10" t="n">
        <x:f>'Daily'!AC98</x:f>
        <x:v>17510.960000000003</x:v>
      </x:c>
      <x:c r="I23" s="2"/>
      <x:c r="J23" s="2"/>
      <x:c r="K23" s="2"/>
      <x:c r="L23" s="2"/>
      <x:c r="M23" s="2"/>
      <x:c r="N23" s="2"/>
    </x:row>
    <x:row r="24" ht="22" customHeight="1">
      <x:c r="A24" s="2"/>
      <x:c r="B24" s="2" t="str">
        <x:v>Deposit refund</x:v>
      </x:c>
      <x:c r="C24" s="42" t="n">
        <x:f>SUM('Daily'!C99:C99)</x:f>
        <x:v>0</x:v>
      </x:c>
      <x:c r="D24" s="12" t="n">
        <x:f>SUM('Daily'!E99:E99)</x:f>
        <x:v>0</x:v>
      </x:c>
      <x:c r="E24" s="10" t="n">
        <x:f>SUM('Daily'!G99:G99)</x:f>
        <x:v>0</x:v>
      </x:c>
      <x:c r="F24" s="10" t="n">
        <x:f>SUM('Daily'!T99:T99)</x:f>
        <x:v>0</x:v>
      </x:c>
      <x:c r="G24" s="10" t="n">
        <x:f>E24-F24</x:f>
        <x:v>0</x:v>
      </x:c>
      <x:c r="H24" s="10" t="n">
        <x:f>'Daily'!AC99</x:f>
        <x:v>20010.960000000003</x:v>
      </x:c>
      <x:c r="I24" s="2"/>
      <x:c r="J24" s="2"/>
      <x:c r="K24" s="2"/>
      <x:c r="L24" s="2"/>
      <x:c r="M24" s="2"/>
      <x:c r="N24" s="2"/>
    </x:row>
    <x:row r="25" ht="22" customHeight="1">
      <x:c r="A25" s="2"/>
      <x:c r="B25" s="41" t="str">
        <x:v>Project total through August</x:v>
      </x:c>
      <x:c r="C25" s="43" t="n">
        <x:f>SUM(C20:C23)</x:f>
        <x:v>65037.5</x:v>
      </x:c>
      <x:c r="D25" s="44" t="n">
        <x:f>SUM(D20:D23)</x:f>
        <x:v>1926</x:v>
      </x:c>
      <x:c r="E25" s="45" t="n">
        <x:f>SUM(E20:E23)</x:f>
        <x:v>34668</x:v>
      </x:c>
      <x:c r="F25" s="45" t="n">
        <x:f>SUM(F20:F23)</x:f>
        <x:v>34657.04000000001</x:v>
      </x:c>
      <x:c r="G25" s="45" t="n">
        <x:f>SUM(G20:G23)</x:f>
        <x:v>10.959999999997308</x:v>
      </x:c>
      <x:c r="H25" s="45" t="n">
        <x:f>'Daily'!AC98</x:f>
        <x:v>17510.960000000003</x:v>
      </x:c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 t="str">
        <x:v>Sales must recover August costs even if cumulative profit turns positive earlier in July.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 t="str">
        <x:v>Base target: 1,926 sales at $18. Revenue $34,668.00; costs $34,657.04; surplus $10.96.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2" customHeight="1">
      <x:c r="A47" s="2"/>
      <x:c r="B47" s="2" t="str">
        <x:v>Deposit is excluded from costs. Its payment and refund are included in cash balances.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2" customHeight="1">
      <x:c r="A69" s="2"/>
      <x:c r="B69" s="2" t="str">
        <x:v>The August 31 result is the three-month target; an earlier crossing is not sufficient on its own.</x:v>
      </x:c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2" customHeight="1">
      <x:c r="A71" s="2"/>
      <x:c r="B71" s="2" t="str">
        <x:v>Cost basis: project cash costs, including equipment and all stock purchased. No resale proceeds assumed.</x:v>
      </x:c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2" customHeight="1">
      <x:c r="A73" s="2"/>
      <x:c r="B73" s="2" t="str">
        <x:v>Sources: inputs/cost_list.md, inputs/mall_facts.md, inputs/foot_traffic.csv.</x:v>
      </x:c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</x:sheetData>
  <x:conditionalFormatting sqref="G20:G25">
    <x:cfRule type="cellIs" dxfId="3" priority="1" operator="lessThan">
      <x:formula>0</x:formula>
    </x:cfRule>
  </x:conditionalFormatting>
  <x:conditionalFormatting sqref="C9:C9">
    <x:cfRule type="cellIs" dxfId="4" priority="2" operator="lessThan">
      <x:formula>0</x:formula>
    </x:cfRule>
  </x:conditionalFormatting>
  <x:conditionalFormatting sqref="C14:C14">
    <x:cfRule type="cellIs" dxfId="5" priority="3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e7de0e3822c41e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0" customHeight="1">
      <x:c r="A2" s="3" t="str">
        <x:v>Daily projection | June–August 2027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2" customHeight="1">
      <x:c r="A3" s="2" t="str">
        <x:v>Includes May 31 setup and September 7 deposit refund. Positive expenses are cash paid; deposit is separate.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44" customHeight="1">
      <x:c r="A5" s="7" t="str">
        <x:v>Date</x:v>
      </x:c>
      <x:c r="B5" s="7" t="str">
        <x:v>Day / phase</x:v>
      </x:c>
      <x:c r="C5" s="7" t="str">
        <x:v>Passing visits</x:v>
      </x:c>
      <x:c r="D5" s="7" t="str">
        <x:v>Cumul. visits</x:v>
      </x:c>
      <x:c r="E5" s="7" t="str">
        <x:v>Items sold</x:v>
      </x:c>
      <x:c r="F5" s="7" t="str">
        <x:v>Cumul. sold</x:v>
      </x:c>
      <x:c r="G5" s="7" t="str">
        <x:v>Revenue</x:v>
      </x:c>
      <x:c r="H5" s="7" t="str">
        <x:v>Staffing</x:v>
      </x:c>
      <x:c r="I5" s="7" t="str">
        <x:v>Rent</x:v>
      </x:c>
      <x:c r="J5" s="7" t="str">
        <x:v>Terminal</x:v>
      </x:c>
      <x:c r="K5" s="7" t="str">
        <x:v>Insurance</x:v>
      </x:c>
      <x:c r="L5" s="7" t="str">
        <x:v>Cleaning</x:v>
      </x:c>
      <x:c r="M5" s="7" t="str">
        <x:v>Tables</x:v>
      </x:c>
      <x:c r="N5" s="7" t="str">
        <x:v>Sign</x:v>
      </x:c>
      <x:c r="O5" s="7" t="str">
        <x:v>Permit</x:v>
      </x:c>
      <x:c r="P5" s="7" t="str">
        <x:v>Promotion</x:v>
      </x:c>
      <x:c r="Q5" s="7" t="str">
        <x:v>Items bought</x:v>
      </x:c>
      <x:c r="R5" s="7" t="str">
        <x:v>Stock purchases</x:v>
      </x:c>
      <x:c r="S5" s="7" t="str">
        <x:v>Card fees</x:v>
      </x:c>
      <x:c r="T5" s="7" t="str">
        <x:v>Total costs</x:v>
      </x:c>
      <x:c r="U5" s="7" t="str">
        <x:v>Cumul. revenue</x:v>
      </x:c>
      <x:c r="V5" s="7" t="str">
        <x:v>Cumul. costs</x:v>
      </x:c>
      <x:c r="W5" s="7" t="str">
        <x:v>Cumul. profit</x:v>
      </x:c>
      <x:c r="X5" s="7" t="str">
        <x:v>Stock on hand</x:v>
      </x:c>
      <x:c r="Y5" s="7" t="str">
        <x:v>Deposit paid</x:v>
      </x:c>
      <x:c r="Z5" s="7" t="str">
        <x:v>Deposit refund</x:v>
      </x:c>
      <x:c r="AA5" s="7" t="str">
        <x:v>Opening cash</x:v>
      </x:c>
      <x:c r="AB5" s="7" t="str">
        <x:v>Cash before receipts</x:v>
      </x:c>
      <x:c r="AC5" s="7" t="str">
        <x:v>Closing cash</x:v>
      </x:c>
      <x:c r="AE5" t="str">
        <x:v>Date</x:v>
      </x:c>
      <x:c r="AF5" t="str">
        <x:v>Cumulative revenue</x:v>
      </x:c>
      <x:c r="AG5" t="str">
        <x:v>Cumulative costs</x:v>
      </x:c>
    </x:row>
    <x:row r="6" ht="22" customHeight="1">
      <x:c r="A6" s="28" t="n">
        <x:f>46538</x:f>
        <x:v>46538</x:v>
      </x:c>
      <x:c r="B6" s="29" t="str">
        <x:f>"Setup"</x:f>
        <x:v>Setup</x:v>
      </x:c>
      <x:c r="C6" s="30" t="n">
        <x:f>0</x:f>
        <x:v>0</x:v>
      </x:c>
      <x:c r="D6" s="31" t="n">
        <x:f>C6</x:f>
        <x:v>0</x:v>
      </x:c>
      <x:c r="E6" s="32" t="n">
        <x:f>0</x:f>
        <x:v>0</x:v>
      </x:c>
      <x:c r="F6" s="33" t="n">
        <x:f>E6</x:f>
        <x:v>0</x:v>
      </x:c>
      <x:c r="G6" s="34" t="n">
        <x:f>E6*'Inputs'!$C$5</x:f>
        <x:v>0</x:v>
      </x:c>
      <x:c r="H6" s="34" t="n">
        <x:f>0</x:f>
        <x:v>0</x:v>
      </x:c>
      <x:c r="I6" s="34" t="n">
        <x:f>'Inputs'!$C$13</x:f>
        <x:v>2500</x:v>
      </x:c>
      <x:c r="J6" s="34" t="n">
        <x:f>0</x:f>
        <x:v>0</x:v>
      </x:c>
      <x:c r="K6" s="34" t="n">
        <x:f>0</x:f>
        <x:v>0</x:v>
      </x:c>
      <x:c r="L6" s="34" t="n">
        <x:f>0</x:f>
        <x:v>0</x:v>
      </x:c>
      <x:c r="M6" s="34" t="n">
        <x:f>'Inputs'!$C$17</x:f>
        <x:v>700</x:v>
      </x:c>
      <x:c r="N6" s="34" t="n">
        <x:f>'Inputs'!$C$18</x:f>
        <x:v>150</x:v>
      </x:c>
      <x:c r="O6" s="34" t="n">
        <x:f>'Inputs'!$C$19</x:f>
        <x:v>300</x:v>
      </x:c>
      <x:c r="P6" s="34" t="n">
        <x:f>'Inputs'!$C$20</x:f>
        <x:v>300</x:v>
      </x:c>
      <x:c r="Q6" s="32" t="n">
        <x:f>'Inputs'!$C$28</x:f>
        <x:v>300</x:v>
      </x:c>
      <x:c r="R6" s="34" t="n">
        <x:f>Q6*'Inputs'!$C$7</x:f>
        <x:v>1200</x:v>
      </x:c>
      <x:c r="S6" s="34" t="n">
        <x:f>G6*'Inputs'!$C$10</x:f>
        <x:v>0</x:v>
      </x:c>
      <x:c r="T6" s="35" t="n">
        <x:f>SUM(H6:P6)+SUM(R6:S6)</x:f>
        <x:v>5150</x:v>
      </x:c>
      <x:c r="U6" s="35" t="n">
        <x:f>G6</x:f>
        <x:v>0</x:v>
      </x:c>
      <x:c r="V6" s="35" t="n">
        <x:f>T6</x:f>
        <x:v>5150</x:v>
      </x:c>
      <x:c r="W6" s="35" t="n">
        <x:f>U6-V6</x:f>
        <x:v>-5150</x:v>
      </x:c>
      <x:c r="X6" s="33" t="n">
        <x:f>Q6-E6</x:f>
        <x:v>300</x:v>
      </x:c>
      <x:c r="Y6" s="34" t="n">
        <x:f>'Inputs'!$C$21</x:f>
        <x:v>2500</x:v>
      </x:c>
      <x:c r="Z6" s="34" t="n">
        <x:f>0</x:f>
        <x:v>0</x:v>
      </x:c>
      <x:c r="AA6" s="34" t="n">
        <x:f>'Inputs'!$C$22</x:f>
        <x:v>20000</x:v>
      </x:c>
      <x:c r="AB6" s="35" t="n">
        <x:f>AA6-T6-Y6+Z6</x:f>
        <x:v>12350</x:v>
      </x:c>
      <x:c r="AC6" s="35" t="n">
        <x:f>AB6+G6</x:f>
        <x:v>12350</x:v>
      </x:c>
      <x:c r="AE6" t="str">
        <x:f>TEXT(A6,"mmm d")</x:f>
        <x:v>May 31</x:v>
      </x:c>
      <x:c r="AF6" s="46" t="n">
        <x:f>U6</x:f>
        <x:v>0</x:v>
      </x:c>
      <x:c r="AG6" s="46" t="n">
        <x:f>V6</x:f>
        <x:v>5150</x:v>
      </x:c>
    </x:row>
    <x:row r="7" ht="22" customHeight="1">
      <x:c r="A7" s="23" t="n">
        <x:f>46539</x:f>
        <x:v>46539</x:v>
      </x:c>
      <x:c r="B7" s="24" t="str">
        <x:f>"Tuesday"</x:f>
        <x:v>Tuesday</x:v>
      </x:c>
      <x:c r="C7" s="26" t="n">
        <x:f>SUMIFS('Inputs'!$H$40:$H$116,'Inputs'!$F$40:$F$116,B7)*IF(MONTH(A7)=8,1-'Inputs'!$C$23,1)</x:f>
        <x:v>510</x:v>
      </x:c>
      <x:c r="D7" s="25" t="n">
        <x:f>D6+C7</x:f>
        <x:v>510</x:v>
      </x:c>
      <x:c r="E7" s="19" t="n">
        <x:f>ROUND(D7*'Inputs'!$C$30,0)-F6</x:f>
        <x:v>15</x:v>
      </x:c>
      <x:c r="F7" s="16" t="n">
        <x:f>F6+E7</x:f>
        <x:v>15</x:v>
      </x:c>
      <x:c r="G7" s="27" t="n">
        <x:f>E7*'Inputs'!$C$5</x:f>
        <x:v>270</x:v>
      </x:c>
      <x:c r="H7" s="27" t="n">
        <x:f>'Inputs'!$C$11*'Inputs'!$C$12</x:f>
        <x:v>176</x:v>
      </x:c>
      <x:c r="I7" s="27" t="n">
        <x:f>IF(AND(DAY(A7)=1,A7&gt;'Inputs'!$C$24),'Inputs'!$C$13,0)</x:f>
        <x:v>0</x:v>
      </x:c>
      <x:c r="J7" s="27" t="n">
        <x:f>IF(DAY(A7)=1,'Inputs'!$C$14,0)</x:f>
        <x:v>45</x:v>
      </x:c>
      <x:c r="K7" s="27" t="n">
        <x:f>IF(DAY(A7)=1,'Inputs'!$C$15,0)</x:f>
        <x:v>100</x:v>
      </x:c>
      <x:c r="L7" s="27" t="n">
        <x:f>IF(DAY(A7)=1,'Inputs'!$C$16,0)</x:f>
        <x:v>80</x:v>
      </x:c>
      <x:c r="M7" s="27" t="n">
        <x:f>0</x:f>
        <x:v>0</x:v>
      </x:c>
      <x:c r="N7" s="27" t="n">
        <x:f>0</x:f>
        <x:v>0</x:v>
      </x:c>
      <x:c r="O7" s="27" t="n">
        <x:f>0</x:f>
        <x:v>0</x:v>
      </x:c>
      <x:c r="P7" s="27" t="n">
        <x:f>0</x:f>
        <x:v>0</x:v>
      </x:c>
      <x:c r="Q7" s="19" t="n">
        <x:f>0</x:f>
        <x:v>0</x:v>
      </x:c>
      <x:c r="R7" s="27" t="n">
        <x:f>Q7*'Inputs'!$C$7</x:f>
        <x:v>0</x:v>
      </x:c>
      <x:c r="S7" s="27" t="n">
        <x:f>G7*'Inputs'!$C$10</x:f>
        <x:v>8.1</x:v>
      </x:c>
      <x:c r="T7" s="18" t="n">
        <x:f>SUM(H7:P7)+SUM(R7:S7)</x:f>
        <x:v>409.1</x:v>
      </x:c>
      <x:c r="U7" s="18" t="n">
        <x:f>U6+G7</x:f>
        <x:v>270</x:v>
      </x:c>
      <x:c r="V7" s="18" t="n">
        <x:f>V6+T7</x:f>
        <x:v>5559.1</x:v>
      </x:c>
      <x:c r="W7" s="18" t="n">
        <x:f>U7-V7</x:f>
        <x:v>-5289.1</x:v>
      </x:c>
      <x:c r="X7" s="16" t="n">
        <x:f>X6+Q7-E7</x:f>
        <x:v>285</x:v>
      </x:c>
      <x:c r="Y7" s="27" t="n">
        <x:f>0</x:f>
        <x:v>0</x:v>
      </x:c>
      <x:c r="Z7" s="27" t="n">
        <x:f>0</x:f>
        <x:v>0</x:v>
      </x:c>
      <x:c r="AA7" s="27" t="n">
        <x:f>AC6</x:f>
        <x:v>12350</x:v>
      </x:c>
      <x:c r="AB7" s="18" t="n">
        <x:f>AA7-T7-Y7+Z7</x:f>
        <x:v>11940.9</x:v>
      </x:c>
      <x:c r="AC7" s="18" t="n">
        <x:f>AB7+G7</x:f>
        <x:v>12210.9</x:v>
      </x:c>
      <x:c r="AE7" t="str">
        <x:f>TEXT(A7,"mmm d")</x:f>
        <x:v>Jun 1</x:v>
      </x:c>
      <x:c r="AF7" s="46" t="n">
        <x:f>U7</x:f>
        <x:v>270</x:v>
      </x:c>
      <x:c r="AG7" s="46" t="n">
        <x:f>V7</x:f>
        <x:v>5559.1</x:v>
      </x:c>
    </x:row>
    <x:row r="8" ht="22" customHeight="1">
      <x:c r="A8" s="23" t="n">
        <x:f>46540</x:f>
        <x:v>46540</x:v>
      </x:c>
      <x:c r="B8" s="24" t="str">
        <x:f>"Wednesday"</x:f>
        <x:v>Wednesday</x:v>
      </x:c>
      <x:c r="C8" s="26" t="n">
        <x:f>SUMIFS('Inputs'!$H$40:$H$116,'Inputs'!$F$40:$F$116,B8)*IF(MONTH(A8)=8,1-'Inputs'!$C$23,1)</x:f>
        <x:v>488</x:v>
      </x:c>
      <x:c r="D8" s="25" t="n">
        <x:f>D7+C8</x:f>
        <x:v>998</x:v>
      </x:c>
      <x:c r="E8" s="19" t="n">
        <x:f>ROUND(D8*'Inputs'!$C$30,0)-F7</x:f>
        <x:v>15</x:v>
      </x:c>
      <x:c r="F8" s="16" t="n">
        <x:f>F7+E8</x:f>
        <x:v>30</x:v>
      </x:c>
      <x:c r="G8" s="27" t="n">
        <x:f>E8*'Inputs'!$C$5</x:f>
        <x:v>270</x:v>
      </x:c>
      <x:c r="H8" s="27" t="n">
        <x:f>'Inputs'!$C$11*'Inputs'!$C$12</x:f>
        <x:v>176</x:v>
      </x:c>
      <x:c r="I8" s="27" t="n">
        <x:f>IF(AND(DAY(A8)=1,A8&gt;'Inputs'!$C$24),'Inputs'!$C$13,0)</x:f>
        <x:v>0</x:v>
      </x:c>
      <x:c r="J8" s="27" t="n">
        <x:f>IF(DAY(A8)=1,'Inputs'!$C$14,0)</x:f>
        <x:v>0</x:v>
      </x:c>
      <x:c r="K8" s="27" t="n">
        <x:f>IF(DAY(A8)=1,'Inputs'!$C$15,0)</x:f>
        <x:v>0</x:v>
      </x:c>
      <x:c r="L8" s="27" t="n">
        <x:f>IF(DAY(A8)=1,'Inputs'!$C$16,0)</x:f>
        <x:v>0</x:v>
      </x:c>
      <x:c r="M8" s="27" t="n">
        <x:f>0</x:f>
        <x:v>0</x:v>
      </x:c>
      <x:c r="N8" s="27" t="n">
        <x:f>0</x:f>
        <x:v>0</x:v>
      </x:c>
      <x:c r="O8" s="27" t="n">
        <x:f>0</x:f>
        <x:v>0</x:v>
      </x:c>
      <x:c r="P8" s="27" t="n">
        <x:f>0</x:f>
        <x:v>0</x:v>
      </x:c>
      <x:c r="Q8" s="19" t="n">
        <x:f>0</x:f>
        <x:v>0</x:v>
      </x:c>
      <x:c r="R8" s="27" t="n">
        <x:f>Q8*'Inputs'!$C$7</x:f>
        <x:v>0</x:v>
      </x:c>
      <x:c r="S8" s="27" t="n">
        <x:f>G8*'Inputs'!$C$10</x:f>
        <x:v>8.1</x:v>
      </x:c>
      <x:c r="T8" s="18" t="n">
        <x:f>SUM(H8:P8)+SUM(R8:S8)</x:f>
        <x:v>184.1</x:v>
      </x:c>
      <x:c r="U8" s="18" t="n">
        <x:f>U7+G8</x:f>
        <x:v>540</x:v>
      </x:c>
      <x:c r="V8" s="18" t="n">
        <x:f>V7+T8</x:f>
        <x:v>5743.200000000001</x:v>
      </x:c>
      <x:c r="W8" s="18" t="n">
        <x:f>U8-V8</x:f>
        <x:v>-5203.200000000001</x:v>
      </x:c>
      <x:c r="X8" s="16" t="n">
        <x:f>X7+Q8-E8</x:f>
        <x:v>270</x:v>
      </x:c>
      <x:c r="Y8" s="27" t="n">
        <x:f>0</x:f>
        <x:v>0</x:v>
      </x:c>
      <x:c r="Z8" s="27" t="n">
        <x:f>0</x:f>
        <x:v>0</x:v>
      </x:c>
      <x:c r="AA8" s="27" t="n">
        <x:f>AC7</x:f>
        <x:v>12210.9</x:v>
      </x:c>
      <x:c r="AB8" s="18" t="n">
        <x:f>AA8-T8-Y8+Z8</x:f>
        <x:v>12026.8</x:v>
      </x:c>
      <x:c r="AC8" s="18" t="n">
        <x:f>AB8+G8</x:f>
        <x:v>12296.8</x:v>
      </x:c>
      <x:c r="AE8" t="str">
        <x:f>TEXT(A8,"mmm d")</x:f>
        <x:v>Jun 2</x:v>
      </x:c>
      <x:c r="AF8" s="46" t="n">
        <x:f>U8</x:f>
        <x:v>540</x:v>
      </x:c>
      <x:c r="AG8" s="46" t="n">
        <x:f>V8</x:f>
        <x:v>5743.200000000001</x:v>
      </x:c>
    </x:row>
    <x:row r="9" ht="22" customHeight="1">
      <x:c r="A9" s="23" t="n">
        <x:f>46541</x:f>
        <x:v>46541</x:v>
      </x:c>
      <x:c r="B9" s="24" t="str">
        <x:f>"Thursday"</x:f>
        <x:v>Thursday</x:v>
      </x:c>
      <x:c r="C9" s="26" t="n">
        <x:f>SUMIFS('Inputs'!$H$40:$H$116,'Inputs'!$F$40:$F$116,B9)*IF(MONTH(A9)=8,1-'Inputs'!$C$23,1)</x:f>
        <x:v>488</x:v>
      </x:c>
      <x:c r="D9" s="25" t="n">
        <x:f>D8+C9</x:f>
        <x:v>1486</x:v>
      </x:c>
      <x:c r="E9" s="19" t="n">
        <x:f>ROUND(D9*'Inputs'!$C$30,0)-F8</x:f>
        <x:v>14</x:v>
      </x:c>
      <x:c r="F9" s="16" t="n">
        <x:f>F8+E9</x:f>
        <x:v>44</x:v>
      </x:c>
      <x:c r="G9" s="27" t="n">
        <x:f>E9*'Inputs'!$C$5</x:f>
        <x:v>252</x:v>
      </x:c>
      <x:c r="H9" s="27" t="n">
        <x:f>'Inputs'!$C$11*'Inputs'!$C$12</x:f>
        <x:v>176</x:v>
      </x:c>
      <x:c r="I9" s="27" t="n">
        <x:f>IF(AND(DAY(A9)=1,A9&gt;'Inputs'!$C$24),'Inputs'!$C$13,0)</x:f>
        <x:v>0</x:v>
      </x:c>
      <x:c r="J9" s="27" t="n">
        <x:f>IF(DAY(A9)=1,'Inputs'!$C$14,0)</x:f>
        <x:v>0</x:v>
      </x:c>
      <x:c r="K9" s="27" t="n">
        <x:f>IF(DAY(A9)=1,'Inputs'!$C$15,0)</x:f>
        <x:v>0</x:v>
      </x:c>
      <x:c r="L9" s="27" t="n">
        <x:f>IF(DAY(A9)=1,'Inputs'!$C$16,0)</x:f>
        <x:v>0</x:v>
      </x:c>
      <x:c r="M9" s="27" t="n">
        <x:f>0</x:f>
        <x:v>0</x:v>
      </x:c>
      <x:c r="N9" s="27" t="n">
        <x:f>0</x:f>
        <x:v>0</x:v>
      </x:c>
      <x:c r="O9" s="27" t="n">
        <x:f>0</x:f>
        <x:v>0</x:v>
      </x:c>
      <x:c r="P9" s="27" t="n">
        <x:f>0</x:f>
        <x:v>0</x:v>
      </x:c>
      <x:c r="Q9" s="19" t="n">
        <x:f>0</x:f>
        <x:v>0</x:v>
      </x:c>
      <x:c r="R9" s="27" t="n">
        <x:f>Q9*'Inputs'!$C$7</x:f>
        <x:v>0</x:v>
      </x:c>
      <x:c r="S9" s="27" t="n">
        <x:f>G9*'Inputs'!$C$10</x:f>
        <x:v>7.56</x:v>
      </x:c>
      <x:c r="T9" s="18" t="n">
        <x:f>SUM(H9:P9)+SUM(R9:S9)</x:f>
        <x:v>183.56</x:v>
      </x:c>
      <x:c r="U9" s="18" t="n">
        <x:f>U8+G9</x:f>
        <x:v>792</x:v>
      </x:c>
      <x:c r="V9" s="18" t="n">
        <x:f>V8+T9</x:f>
        <x:v>5926.760000000001</x:v>
      </x:c>
      <x:c r="W9" s="18" t="n">
        <x:f>U9-V9</x:f>
        <x:v>-5134.760000000001</x:v>
      </x:c>
      <x:c r="X9" s="16" t="n">
        <x:f>X8+Q9-E9</x:f>
        <x:v>256</x:v>
      </x:c>
      <x:c r="Y9" s="27" t="n">
        <x:f>0</x:f>
        <x:v>0</x:v>
      </x:c>
      <x:c r="Z9" s="27" t="n">
        <x:f>0</x:f>
        <x:v>0</x:v>
      </x:c>
      <x:c r="AA9" s="27" t="n">
        <x:f>AC8</x:f>
        <x:v>12296.8</x:v>
      </x:c>
      <x:c r="AB9" s="18" t="n">
        <x:f>AA9-T9-Y9+Z9</x:f>
        <x:v>12113.24</x:v>
      </x:c>
      <x:c r="AC9" s="18" t="n">
        <x:f>AB9+G9</x:f>
        <x:v>12365.24</x:v>
      </x:c>
      <x:c r="AE9" t="str">
        <x:f>TEXT(A9,"mmm d")</x:f>
        <x:v>Jun 3</x:v>
      </x:c>
      <x:c r="AF9" s="46" t="n">
        <x:f>U9</x:f>
        <x:v>792</x:v>
      </x:c>
      <x:c r="AG9" s="46" t="n">
        <x:f>V9</x:f>
        <x:v>5926.760000000001</x:v>
      </x:c>
    </x:row>
    <x:row r="10" ht="22" customHeight="1">
      <x:c r="A10" s="23" t="n">
        <x:f>46542</x:f>
        <x:v>46542</x:v>
      </x:c>
      <x:c r="B10" s="24" t="str">
        <x:f>"Friday"</x:f>
        <x:v>Friday</x:v>
      </x:c>
      <x:c r="C10" s="26" t="n">
        <x:f>SUMIFS('Inputs'!$H$40:$H$116,'Inputs'!$F$40:$F$116,B10)*IF(MONTH(A10)=8,1-'Inputs'!$C$23,1)</x:f>
        <x:v>565</x:v>
      </x:c>
      <x:c r="D10" s="25" t="n">
        <x:f>D9+C10</x:f>
        <x:v>2051</x:v>
      </x:c>
      <x:c r="E10" s="19" t="n">
        <x:f>ROUND(D10*'Inputs'!$C$30,0)-F9</x:f>
        <x:v>17</x:v>
      </x:c>
      <x:c r="F10" s="16" t="n">
        <x:f>F9+E10</x:f>
        <x:v>61</x:v>
      </x:c>
      <x:c r="G10" s="27" t="n">
        <x:f>E10*'Inputs'!$C$5</x:f>
        <x:v>306</x:v>
      </x:c>
      <x:c r="H10" s="27" t="n">
        <x:f>'Inputs'!$C$11*'Inputs'!$C$12</x:f>
        <x:v>176</x:v>
      </x:c>
      <x:c r="I10" s="27" t="n">
        <x:f>IF(AND(DAY(A10)=1,A10&gt;'Inputs'!$C$24),'Inputs'!$C$13,0)</x:f>
        <x:v>0</x:v>
      </x:c>
      <x:c r="J10" s="27" t="n">
        <x:f>IF(DAY(A10)=1,'Inputs'!$C$14,0)</x:f>
        <x:v>0</x:v>
      </x:c>
      <x:c r="K10" s="27" t="n">
        <x:f>IF(DAY(A10)=1,'Inputs'!$C$15,0)</x:f>
        <x:v>0</x:v>
      </x:c>
      <x:c r="L10" s="27" t="n">
        <x:f>IF(DAY(A10)=1,'Inputs'!$C$16,0)</x:f>
        <x:v>0</x:v>
      </x:c>
      <x:c r="M10" s="27" t="n">
        <x:f>0</x:f>
        <x:v>0</x:v>
      </x:c>
      <x:c r="N10" s="27" t="n">
        <x:f>0</x:f>
        <x:v>0</x:v>
      </x:c>
      <x:c r="O10" s="27" t="n">
        <x:f>0</x:f>
        <x:v>0</x:v>
      </x:c>
      <x:c r="P10" s="27" t="n">
        <x:f>0</x:f>
        <x:v>0</x:v>
      </x:c>
      <x:c r="Q10" s="19" t="n">
        <x:f>0</x:f>
        <x:v>0</x:v>
      </x:c>
      <x:c r="R10" s="27" t="n">
        <x:f>Q10*'Inputs'!$C$7</x:f>
        <x:v>0</x:v>
      </x:c>
      <x:c r="S10" s="27" t="n">
        <x:f>G10*'Inputs'!$C$10</x:f>
        <x:v>9.18</x:v>
      </x:c>
      <x:c r="T10" s="18" t="n">
        <x:f>SUM(H10:P10)+SUM(R10:S10)</x:f>
        <x:v>185.18</x:v>
      </x:c>
      <x:c r="U10" s="18" t="n">
        <x:f>U9+G10</x:f>
        <x:v>1098</x:v>
      </x:c>
      <x:c r="V10" s="18" t="n">
        <x:f>V9+T10</x:f>
        <x:v>6111.940000000001</x:v>
      </x:c>
      <x:c r="W10" s="18" t="n">
        <x:f>U10-V10</x:f>
        <x:v>-5013.940000000001</x:v>
      </x:c>
      <x:c r="X10" s="16" t="n">
        <x:f>X9+Q10-E10</x:f>
        <x:v>239</x:v>
      </x:c>
      <x:c r="Y10" s="27" t="n">
        <x:f>0</x:f>
        <x:v>0</x:v>
      </x:c>
      <x:c r="Z10" s="27" t="n">
        <x:f>0</x:f>
        <x:v>0</x:v>
      </x:c>
      <x:c r="AA10" s="27" t="n">
        <x:f>AC9</x:f>
        <x:v>12365.24</x:v>
      </x:c>
      <x:c r="AB10" s="18" t="n">
        <x:f>AA10-T10-Y10+Z10</x:f>
        <x:v>12180.06</x:v>
      </x:c>
      <x:c r="AC10" s="18" t="n">
        <x:f>AB10+G10</x:f>
        <x:v>12486.06</x:v>
      </x:c>
      <x:c r="AE10" t="str">
        <x:f>TEXT(A10,"mmm d")</x:f>
        <x:v>Jun 4</x:v>
      </x:c>
      <x:c r="AF10" s="46" t="n">
        <x:f>U10</x:f>
        <x:v>1098</x:v>
      </x:c>
      <x:c r="AG10" s="46" t="n">
        <x:f>V10</x:f>
        <x:v>6111.940000000001</x:v>
      </x:c>
    </x:row>
    <x:row r="11" ht="22" customHeight="1">
      <x:c r="A11" s="23" t="n">
        <x:f>46543</x:f>
        <x:v>46543</x:v>
      </x:c>
      <x:c r="B11" s="24" t="str">
        <x:f>"Saturday"</x:f>
        <x:v>Saturday</x:v>
      </x:c>
      <x:c r="C11" s="26" t="n">
        <x:f>SUMIFS('Inputs'!$H$40:$H$116,'Inputs'!$F$40:$F$116,B11)*IF(MONTH(A11)=8,1-'Inputs'!$C$23,1)</x:f>
        <x:v>1529</x:v>
      </x:c>
      <x:c r="D11" s="25" t="n">
        <x:f>D10+C11</x:f>
        <x:v>3580</x:v>
      </x:c>
      <x:c r="E11" s="19" t="n">
        <x:f>ROUND(D11*'Inputs'!$C$30,0)-F10</x:f>
        <x:v>45</x:v>
      </x:c>
      <x:c r="F11" s="16" t="n">
        <x:f>F10+E11</x:f>
        <x:v>106</x:v>
      </x:c>
      <x:c r="G11" s="27" t="n">
        <x:f>E11*'Inputs'!$C$5</x:f>
        <x:v>810</x:v>
      </x:c>
      <x:c r="H11" s="27" t="n">
        <x:f>'Inputs'!$C$11*'Inputs'!$C$12</x:f>
        <x:v>176</x:v>
      </x:c>
      <x:c r="I11" s="27" t="n">
        <x:f>IF(AND(DAY(A11)=1,A11&gt;'Inputs'!$C$24),'Inputs'!$C$13,0)</x:f>
        <x:v>0</x:v>
      </x:c>
      <x:c r="J11" s="27" t="n">
        <x:f>IF(DAY(A11)=1,'Inputs'!$C$14,0)</x:f>
        <x:v>0</x:v>
      </x:c>
      <x:c r="K11" s="27" t="n">
        <x:f>IF(DAY(A11)=1,'Inputs'!$C$15,0)</x:f>
        <x:v>0</x:v>
      </x:c>
      <x:c r="L11" s="27" t="n">
        <x:f>IF(DAY(A11)=1,'Inputs'!$C$16,0)</x:f>
        <x:v>0</x:v>
      </x:c>
      <x:c r="M11" s="27" t="n">
        <x:f>0</x:f>
        <x:v>0</x:v>
      </x:c>
      <x:c r="N11" s="27" t="n">
        <x:f>0</x:f>
        <x:v>0</x:v>
      </x:c>
      <x:c r="O11" s="27" t="n">
        <x:f>0</x:f>
        <x:v>0</x:v>
      </x:c>
      <x:c r="P11" s="27" t="n">
        <x:f>0</x:f>
        <x:v>0</x:v>
      </x:c>
      <x:c r="Q11" s="19" t="n">
        <x:f>0</x:f>
        <x:v>0</x:v>
      </x:c>
      <x:c r="R11" s="27" t="n">
        <x:f>Q11*'Inputs'!$C$7</x:f>
        <x:v>0</x:v>
      </x:c>
      <x:c r="S11" s="27" t="n">
        <x:f>G11*'Inputs'!$C$10</x:f>
        <x:v>24.3</x:v>
      </x:c>
      <x:c r="T11" s="18" t="n">
        <x:f>SUM(H11:P11)+SUM(R11:S11)</x:f>
        <x:v>200.3</x:v>
      </x:c>
      <x:c r="U11" s="18" t="n">
        <x:f>U10+G11</x:f>
        <x:v>1908</x:v>
      </x:c>
      <x:c r="V11" s="18" t="n">
        <x:f>V10+T11</x:f>
        <x:v>6312.240000000002</x:v>
      </x:c>
      <x:c r="W11" s="18" t="n">
        <x:f>U11-V11</x:f>
        <x:v>-4404.240000000002</x:v>
      </x:c>
      <x:c r="X11" s="16" t="n">
        <x:f>X10+Q11-E11</x:f>
        <x:v>194</x:v>
      </x:c>
      <x:c r="Y11" s="27" t="n">
        <x:f>0</x:f>
        <x:v>0</x:v>
      </x:c>
      <x:c r="Z11" s="27" t="n">
        <x:f>0</x:f>
        <x:v>0</x:v>
      </x:c>
      <x:c r="AA11" s="27" t="n">
        <x:f>AC10</x:f>
        <x:v>12486.06</x:v>
      </x:c>
      <x:c r="AB11" s="18" t="n">
        <x:f>AA11-T11-Y11+Z11</x:f>
        <x:v>12285.76</x:v>
      </x:c>
      <x:c r="AC11" s="18" t="n">
        <x:f>AB11+G11</x:f>
        <x:v>13095.76</x:v>
      </x:c>
      <x:c r="AE11" t="str">
        <x:f>TEXT(A11,"mmm d")</x:f>
        <x:v>Jun 5</x:v>
      </x:c>
      <x:c r="AF11" s="46" t="n">
        <x:f>U11</x:f>
        <x:v>1908</x:v>
      </x:c>
      <x:c r="AG11" s="46" t="n">
        <x:f>V11</x:f>
        <x:v>6312.240000000002</x:v>
      </x:c>
    </x:row>
    <x:row r="12" ht="22" customHeight="1">
      <x:c r="A12" s="23" t="n">
        <x:f>46544</x:f>
        <x:v>46544</x:v>
      </x:c>
      <x:c r="B12" s="24" t="str">
        <x:f>"Sunday"</x:f>
        <x:v>Sunday</x:v>
      </x:c>
      <x:c r="C12" s="26" t="n">
        <x:f>SUMIFS('Inputs'!$H$40:$H$116,'Inputs'!$F$40:$F$116,B12)*IF(MONTH(A12)=8,1-'Inputs'!$C$23,1)</x:f>
        <x:v>1463</x:v>
      </x:c>
      <x:c r="D12" s="25" t="n">
        <x:f>D11+C12</x:f>
        <x:v>5043</x:v>
      </x:c>
      <x:c r="E12" s="19" t="n">
        <x:f>ROUND(D12*'Inputs'!$C$30,0)-F11</x:f>
        <x:v>43</x:v>
      </x:c>
      <x:c r="F12" s="16" t="n">
        <x:f>F11+E12</x:f>
        <x:v>149</x:v>
      </x:c>
      <x:c r="G12" s="27" t="n">
        <x:f>E12*'Inputs'!$C$5</x:f>
        <x:v>774</x:v>
      </x:c>
      <x:c r="H12" s="27" t="n">
        <x:f>'Inputs'!$C$11*'Inputs'!$C$12</x:f>
        <x:v>176</x:v>
      </x:c>
      <x:c r="I12" s="27" t="n">
        <x:f>IF(AND(DAY(A12)=1,A12&gt;'Inputs'!$C$24),'Inputs'!$C$13,0)</x:f>
        <x:v>0</x:v>
      </x:c>
      <x:c r="J12" s="27" t="n">
        <x:f>IF(DAY(A12)=1,'Inputs'!$C$14,0)</x:f>
        <x:v>0</x:v>
      </x:c>
      <x:c r="K12" s="27" t="n">
        <x:f>IF(DAY(A12)=1,'Inputs'!$C$15,0)</x:f>
        <x:v>0</x:v>
      </x:c>
      <x:c r="L12" s="27" t="n">
        <x:f>IF(DAY(A12)=1,'Inputs'!$C$16,0)</x:f>
        <x:v>0</x:v>
      </x:c>
      <x:c r="M12" s="27" t="n">
        <x:f>0</x:f>
        <x:v>0</x:v>
      </x:c>
      <x:c r="N12" s="27" t="n">
        <x:f>0</x:f>
        <x:v>0</x:v>
      </x:c>
      <x:c r="O12" s="27" t="n">
        <x:f>0</x:f>
        <x:v>0</x:v>
      </x:c>
      <x:c r="P12" s="27" t="n">
        <x:f>0</x:f>
        <x:v>0</x:v>
      </x:c>
      <x:c r="Q12" s="19" t="n">
        <x:f>0</x:f>
        <x:v>0</x:v>
      </x:c>
      <x:c r="R12" s="27" t="n">
        <x:f>Q12*'Inputs'!$C$7</x:f>
        <x:v>0</x:v>
      </x:c>
      <x:c r="S12" s="27" t="n">
        <x:f>G12*'Inputs'!$C$10</x:f>
        <x:v>23.22</x:v>
      </x:c>
      <x:c r="T12" s="18" t="n">
        <x:f>SUM(H12:P12)+SUM(R12:S12)</x:f>
        <x:v>199.22</x:v>
      </x:c>
      <x:c r="U12" s="18" t="n">
        <x:f>U11+G12</x:f>
        <x:v>2682</x:v>
      </x:c>
      <x:c r="V12" s="18" t="n">
        <x:f>V11+T12</x:f>
        <x:v>6511.460000000002</x:v>
      </x:c>
      <x:c r="W12" s="18" t="n">
        <x:f>U12-V12</x:f>
        <x:v>-3829.460000000002</x:v>
      </x:c>
      <x:c r="X12" s="16" t="n">
        <x:f>X11+Q12-E12</x:f>
        <x:v>151</x:v>
      </x:c>
      <x:c r="Y12" s="27" t="n">
        <x:f>0</x:f>
        <x:v>0</x:v>
      </x:c>
      <x:c r="Z12" s="27" t="n">
        <x:f>0</x:f>
        <x:v>0</x:v>
      </x:c>
      <x:c r="AA12" s="27" t="n">
        <x:f>AC11</x:f>
        <x:v>13095.76</x:v>
      </x:c>
      <x:c r="AB12" s="18" t="n">
        <x:f>AA12-T12-Y12+Z12</x:f>
        <x:v>12896.54</x:v>
      </x:c>
      <x:c r="AC12" s="18" t="n">
        <x:f>AB12+G12</x:f>
        <x:v>13670.54</x:v>
      </x:c>
      <x:c r="AE12" t="str">
        <x:f>TEXT(A12,"mmm d")</x:f>
        <x:v>Jun 6</x:v>
      </x:c>
      <x:c r="AF12" s="46" t="n">
        <x:f>U12</x:f>
        <x:v>2682</x:v>
      </x:c>
      <x:c r="AG12" s="46" t="n">
        <x:f>V12</x:f>
        <x:v>6511.460000000002</x:v>
      </x:c>
    </x:row>
    <x:row r="13" ht="22" customHeight="1">
      <x:c r="A13" s="23" t="n">
        <x:f>46545</x:f>
        <x:v>46545</x:v>
      </x:c>
      <x:c r="B13" s="24" t="str">
        <x:f>"Monday"</x:f>
        <x:v>Monday</x:v>
      </x:c>
      <x:c r="C13" s="26" t="n">
        <x:f>SUMIFS('Inputs'!$H$40:$H$116,'Inputs'!$F$40:$F$116,B13)*IF(MONTH(A13)=8,1-'Inputs'!$C$23,1)</x:f>
        <x:v>488</x:v>
      </x:c>
      <x:c r="D13" s="25" t="n">
        <x:f>D12+C13</x:f>
        <x:v>5531</x:v>
      </x:c>
      <x:c r="E13" s="19" t="n">
        <x:f>ROUND(D13*'Inputs'!$C$30,0)-F12</x:f>
        <x:v>15</x:v>
      </x:c>
      <x:c r="F13" s="16" t="n">
        <x:f>F12+E13</x:f>
        <x:v>164</x:v>
      </x:c>
      <x:c r="G13" s="27" t="n">
        <x:f>E13*'Inputs'!$C$5</x:f>
        <x:v>270</x:v>
      </x:c>
      <x:c r="H13" s="27" t="n">
        <x:f>'Inputs'!$C$11*'Inputs'!$C$12</x:f>
        <x:v>176</x:v>
      </x:c>
      <x:c r="I13" s="27" t="n">
        <x:f>IF(AND(DAY(A13)=1,A13&gt;'Inputs'!$C$24),'Inputs'!$C$13,0)</x:f>
        <x:v>0</x:v>
      </x:c>
      <x:c r="J13" s="27" t="n">
        <x:f>IF(DAY(A13)=1,'Inputs'!$C$14,0)</x:f>
        <x:v>0</x:v>
      </x:c>
      <x:c r="K13" s="27" t="n">
        <x:f>IF(DAY(A13)=1,'Inputs'!$C$15,0)</x:f>
        <x:v>0</x:v>
      </x:c>
      <x:c r="L13" s="27" t="n">
        <x:f>IF(DAY(A13)=1,'Inputs'!$C$16,0)</x:f>
        <x:v>0</x:v>
      </x:c>
      <x:c r="M13" s="27" t="n">
        <x:f>0</x:f>
        <x:v>0</x:v>
      </x:c>
      <x:c r="N13" s="27" t="n">
        <x:f>0</x:f>
        <x:v>0</x:v>
      </x:c>
      <x:c r="O13" s="27" t="n">
        <x:f>0</x:f>
        <x:v>0</x:v>
      </x:c>
      <x:c r="P13" s="27" t="n">
        <x:f>0</x:f>
        <x:v>0</x:v>
      </x:c>
      <x:c r="Q13" s="19" t="n">
        <x:f>0</x:f>
        <x:v>0</x:v>
      </x:c>
      <x:c r="R13" s="27" t="n">
        <x:f>Q13*'Inputs'!$C$7</x:f>
        <x:v>0</x:v>
      </x:c>
      <x:c r="S13" s="27" t="n">
        <x:f>G13*'Inputs'!$C$10</x:f>
        <x:v>8.1</x:v>
      </x:c>
      <x:c r="T13" s="18" t="n">
        <x:f>SUM(H13:P13)+SUM(R13:S13)</x:f>
        <x:v>184.1</x:v>
      </x:c>
      <x:c r="U13" s="18" t="n">
        <x:f>U12+G13</x:f>
        <x:v>2952</x:v>
      </x:c>
      <x:c r="V13" s="18" t="n">
        <x:f>V12+T13</x:f>
        <x:v>6695.560000000002</x:v>
      </x:c>
      <x:c r="W13" s="18" t="n">
        <x:f>U13-V13</x:f>
        <x:v>-3743.560000000002</x:v>
      </x:c>
      <x:c r="X13" s="16" t="n">
        <x:f>X12+Q13-E13</x:f>
        <x:v>136</x:v>
      </x:c>
      <x:c r="Y13" s="27" t="n">
        <x:f>0</x:f>
        <x:v>0</x:v>
      </x:c>
      <x:c r="Z13" s="27" t="n">
        <x:f>0</x:f>
        <x:v>0</x:v>
      </x:c>
      <x:c r="AA13" s="27" t="n">
        <x:f>AC12</x:f>
        <x:v>13670.54</x:v>
      </x:c>
      <x:c r="AB13" s="18" t="n">
        <x:f>AA13-T13-Y13+Z13</x:f>
        <x:v>13486.44</x:v>
      </x:c>
      <x:c r="AC13" s="18" t="n">
        <x:f>AB13+G13</x:f>
        <x:v>13756.44</x:v>
      </x:c>
      <x:c r="AE13" t="str">
        <x:f>TEXT(A13,"mmm d")</x:f>
        <x:v>Jun 7</x:v>
      </x:c>
      <x:c r="AF13" s="46" t="n">
        <x:f>U13</x:f>
        <x:v>2952</x:v>
      </x:c>
      <x:c r="AG13" s="46" t="n">
        <x:f>V13</x:f>
        <x:v>6695.560000000002</x:v>
      </x:c>
    </x:row>
    <x:row r="14" ht="22" customHeight="1">
      <x:c r="A14" s="23" t="n">
        <x:f>46546</x:f>
        <x:v>46546</x:v>
      </x:c>
      <x:c r="B14" s="24" t="str">
        <x:f>"Tuesday"</x:f>
        <x:v>Tuesday</x:v>
      </x:c>
      <x:c r="C14" s="26" t="n">
        <x:f>SUMIFS('Inputs'!$H$40:$H$116,'Inputs'!$F$40:$F$116,B14)*IF(MONTH(A14)=8,1-'Inputs'!$C$23,1)</x:f>
        <x:v>510</x:v>
      </x:c>
      <x:c r="D14" s="25" t="n">
        <x:f>D13+C14</x:f>
        <x:v>6041</x:v>
      </x:c>
      <x:c r="E14" s="19" t="n">
        <x:f>ROUND(D14*'Inputs'!$C$30,0)-F13</x:f>
        <x:v>15</x:v>
      </x:c>
      <x:c r="F14" s="16" t="n">
        <x:f>F13+E14</x:f>
        <x:v>179</x:v>
      </x:c>
      <x:c r="G14" s="27" t="n">
        <x:f>E14*'Inputs'!$C$5</x:f>
        <x:v>270</x:v>
      </x:c>
      <x:c r="H14" s="27" t="n">
        <x:f>'Inputs'!$C$11*'Inputs'!$C$12</x:f>
        <x:v>176</x:v>
      </x:c>
      <x:c r="I14" s="27" t="n">
        <x:f>IF(AND(DAY(A14)=1,A14&gt;'Inputs'!$C$24),'Inputs'!$C$13,0)</x:f>
        <x:v>0</x:v>
      </x:c>
      <x:c r="J14" s="27" t="n">
        <x:f>IF(DAY(A14)=1,'Inputs'!$C$14,0)</x:f>
        <x:v>0</x:v>
      </x:c>
      <x:c r="K14" s="27" t="n">
        <x:f>IF(DAY(A14)=1,'Inputs'!$C$15,0)</x:f>
        <x:v>0</x:v>
      </x:c>
      <x:c r="L14" s="27" t="n">
        <x:f>IF(DAY(A14)=1,'Inputs'!$C$16,0)</x:f>
        <x:v>0</x:v>
      </x:c>
      <x:c r="M14" s="27" t="n">
        <x:f>0</x:f>
        <x:v>0</x:v>
      </x:c>
      <x:c r="N14" s="27" t="n">
        <x:f>0</x:f>
        <x:v>0</x:v>
      </x:c>
      <x:c r="O14" s="27" t="n">
        <x:f>0</x:f>
        <x:v>0</x:v>
      </x:c>
      <x:c r="P14" s="27" t="n">
        <x:f>0</x:f>
        <x:v>0</x:v>
      </x:c>
      <x:c r="Q14" s="19" t="n">
        <x:f>ROUNDUP(MAX(0,SUM(E14:E20)-X13)/'Inputs'!$C$8,0)*'Inputs'!$C$8</x:f>
        <x:v>50</x:v>
      </x:c>
      <x:c r="R14" s="27" t="n">
        <x:f>Q14*'Inputs'!$C$7</x:f>
        <x:v>200</x:v>
      </x:c>
      <x:c r="S14" s="27" t="n">
        <x:f>G14*'Inputs'!$C$10</x:f>
        <x:v>8.1</x:v>
      </x:c>
      <x:c r="T14" s="18" t="n">
        <x:f>SUM(H14:P14)+SUM(R14:S14)</x:f>
        <x:v>384.1</x:v>
      </x:c>
      <x:c r="U14" s="18" t="n">
        <x:f>U13+G14</x:f>
        <x:v>3222</x:v>
      </x:c>
      <x:c r="V14" s="18" t="n">
        <x:f>V13+T14</x:f>
        <x:v>7079.660000000003</x:v>
      </x:c>
      <x:c r="W14" s="18" t="n">
        <x:f>U14-V14</x:f>
        <x:v>-3857.6600000000026</x:v>
      </x:c>
      <x:c r="X14" s="16" t="n">
        <x:f>X13+Q14-E14</x:f>
        <x:v>171</x:v>
      </x:c>
      <x:c r="Y14" s="27" t="n">
        <x:f>0</x:f>
        <x:v>0</x:v>
      </x:c>
      <x:c r="Z14" s="27" t="n">
        <x:f>0</x:f>
        <x:v>0</x:v>
      </x:c>
      <x:c r="AA14" s="27" t="n">
        <x:f>AC13</x:f>
        <x:v>13756.44</x:v>
      </x:c>
      <x:c r="AB14" s="18" t="n">
        <x:f>AA14-T14-Y14+Z14</x:f>
        <x:v>13372.34</x:v>
      </x:c>
      <x:c r="AC14" s="18" t="n">
        <x:f>AB14+G14</x:f>
        <x:v>13642.34</x:v>
      </x:c>
      <x:c r="AE14" t="str">
        <x:f>TEXT(A14,"mmm d")</x:f>
        <x:v>Jun 8</x:v>
      </x:c>
      <x:c r="AF14" s="46" t="n">
        <x:f>U14</x:f>
        <x:v>3222</x:v>
      </x:c>
      <x:c r="AG14" s="46" t="n">
        <x:f>V14</x:f>
        <x:v>7079.660000000003</x:v>
      </x:c>
    </x:row>
    <x:row r="15" ht="22" customHeight="1">
      <x:c r="A15" s="23" t="n">
        <x:f>46547</x:f>
        <x:v>46547</x:v>
      </x:c>
      <x:c r="B15" s="24" t="str">
        <x:f>"Wednesday"</x:f>
        <x:v>Wednesday</x:v>
      </x:c>
      <x:c r="C15" s="26" t="n">
        <x:f>SUMIFS('Inputs'!$H$40:$H$116,'Inputs'!$F$40:$F$116,B15)*IF(MONTH(A15)=8,1-'Inputs'!$C$23,1)</x:f>
        <x:v>488</x:v>
      </x:c>
      <x:c r="D15" s="25" t="n">
        <x:f>D14+C15</x:f>
        <x:v>6529</x:v>
      </x:c>
      <x:c r="E15" s="19" t="n">
        <x:f>ROUND(D15*'Inputs'!$C$30,0)-F14</x:f>
        <x:v>14</x:v>
      </x:c>
      <x:c r="F15" s="16" t="n">
        <x:f>F14+E15</x:f>
        <x:v>193</x:v>
      </x:c>
      <x:c r="G15" s="27" t="n">
        <x:f>E15*'Inputs'!$C$5</x:f>
        <x:v>252</x:v>
      </x:c>
      <x:c r="H15" s="27" t="n">
        <x:f>'Inputs'!$C$11*'Inputs'!$C$12</x:f>
        <x:v>176</x:v>
      </x:c>
      <x:c r="I15" s="27" t="n">
        <x:f>IF(AND(DAY(A15)=1,A15&gt;'Inputs'!$C$24),'Inputs'!$C$13,0)</x:f>
        <x:v>0</x:v>
      </x:c>
      <x:c r="J15" s="27" t="n">
        <x:f>IF(DAY(A15)=1,'Inputs'!$C$14,0)</x:f>
        <x:v>0</x:v>
      </x:c>
      <x:c r="K15" s="27" t="n">
        <x:f>IF(DAY(A15)=1,'Inputs'!$C$15,0)</x:f>
        <x:v>0</x:v>
      </x:c>
      <x:c r="L15" s="27" t="n">
        <x:f>IF(DAY(A15)=1,'Inputs'!$C$16,0)</x:f>
        <x:v>0</x:v>
      </x:c>
      <x:c r="M15" s="27" t="n">
        <x:f>0</x:f>
        <x:v>0</x:v>
      </x:c>
      <x:c r="N15" s="27" t="n">
        <x:f>0</x:f>
        <x:v>0</x:v>
      </x:c>
      <x:c r="O15" s="27" t="n">
        <x:f>0</x:f>
        <x:v>0</x:v>
      </x:c>
      <x:c r="P15" s="27" t="n">
        <x:f>0</x:f>
        <x:v>0</x:v>
      </x:c>
      <x:c r="Q15" s="19" t="n">
        <x:f>0</x:f>
        <x:v>0</x:v>
      </x:c>
      <x:c r="R15" s="27" t="n">
        <x:f>Q15*'Inputs'!$C$7</x:f>
        <x:v>0</x:v>
      </x:c>
      <x:c r="S15" s="27" t="n">
        <x:f>G15*'Inputs'!$C$10</x:f>
        <x:v>7.56</x:v>
      </x:c>
      <x:c r="T15" s="18" t="n">
        <x:f>SUM(H15:P15)+SUM(R15:S15)</x:f>
        <x:v>183.56</x:v>
      </x:c>
      <x:c r="U15" s="18" t="n">
        <x:f>U14+G15</x:f>
        <x:v>3474</x:v>
      </x:c>
      <x:c r="V15" s="18" t="n">
        <x:f>V14+T15</x:f>
        <x:v>7263.220000000003</x:v>
      </x:c>
      <x:c r="W15" s="18" t="n">
        <x:f>U15-V15</x:f>
        <x:v>-3789.220000000003</x:v>
      </x:c>
      <x:c r="X15" s="16" t="n">
        <x:f>X14+Q15-E15</x:f>
        <x:v>157</x:v>
      </x:c>
      <x:c r="Y15" s="27" t="n">
        <x:f>0</x:f>
        <x:v>0</x:v>
      </x:c>
      <x:c r="Z15" s="27" t="n">
        <x:f>0</x:f>
        <x:v>0</x:v>
      </x:c>
      <x:c r="AA15" s="27" t="n">
        <x:f>AC14</x:f>
        <x:v>13642.34</x:v>
      </x:c>
      <x:c r="AB15" s="18" t="n">
        <x:f>AA15-T15-Y15+Z15</x:f>
        <x:v>13458.78</x:v>
      </x:c>
      <x:c r="AC15" s="18" t="n">
        <x:f>AB15+G15</x:f>
        <x:v>13710.78</x:v>
      </x:c>
      <x:c r="AE15" t="str">
        <x:f>TEXT(A15,"mmm d")</x:f>
        <x:v>Jun 9</x:v>
      </x:c>
      <x:c r="AF15" s="46" t="n">
        <x:f>U15</x:f>
        <x:v>3474</x:v>
      </x:c>
      <x:c r="AG15" s="46" t="n">
        <x:f>V15</x:f>
        <x:v>7263.220000000003</x:v>
      </x:c>
    </x:row>
    <x:row r="16" ht="22" customHeight="1">
      <x:c r="A16" s="23" t="n">
        <x:f>46548</x:f>
        <x:v>46548</x:v>
      </x:c>
      <x:c r="B16" s="24" t="str">
        <x:f>"Thursday"</x:f>
        <x:v>Thursday</x:v>
      </x:c>
      <x:c r="C16" s="26" t="n">
        <x:f>SUMIFS('Inputs'!$H$40:$H$116,'Inputs'!$F$40:$F$116,B16)*IF(MONTH(A16)=8,1-'Inputs'!$C$23,1)</x:f>
        <x:v>488</x:v>
      </x:c>
      <x:c r="D16" s="25" t="n">
        <x:f>D15+C16</x:f>
        <x:v>7017</x:v>
      </x:c>
      <x:c r="E16" s="19" t="n">
        <x:f>ROUND(D16*'Inputs'!$C$30,0)-F15</x:f>
        <x:v>15</x:v>
      </x:c>
      <x:c r="F16" s="16" t="n">
        <x:f>F15+E16</x:f>
        <x:v>208</x:v>
      </x:c>
      <x:c r="G16" s="27" t="n">
        <x:f>E16*'Inputs'!$C$5</x:f>
        <x:v>270</x:v>
      </x:c>
      <x:c r="H16" s="27" t="n">
        <x:f>'Inputs'!$C$11*'Inputs'!$C$12</x:f>
        <x:v>176</x:v>
      </x:c>
      <x:c r="I16" s="27" t="n">
        <x:f>IF(AND(DAY(A16)=1,A16&gt;'Inputs'!$C$24),'Inputs'!$C$13,0)</x:f>
        <x:v>0</x:v>
      </x:c>
      <x:c r="J16" s="27" t="n">
        <x:f>IF(DAY(A16)=1,'Inputs'!$C$14,0)</x:f>
        <x:v>0</x:v>
      </x:c>
      <x:c r="K16" s="27" t="n">
        <x:f>IF(DAY(A16)=1,'Inputs'!$C$15,0)</x:f>
        <x:v>0</x:v>
      </x:c>
      <x:c r="L16" s="27" t="n">
        <x:f>IF(DAY(A16)=1,'Inputs'!$C$16,0)</x:f>
        <x:v>0</x:v>
      </x:c>
      <x:c r="M16" s="27" t="n">
        <x:f>0</x:f>
        <x:v>0</x:v>
      </x:c>
      <x:c r="N16" s="27" t="n">
        <x:f>0</x:f>
        <x:v>0</x:v>
      </x:c>
      <x:c r="O16" s="27" t="n">
        <x:f>0</x:f>
        <x:v>0</x:v>
      </x:c>
      <x:c r="P16" s="27" t="n">
        <x:f>0</x:f>
        <x:v>0</x:v>
      </x:c>
      <x:c r="Q16" s="19" t="n">
        <x:f>0</x:f>
        <x:v>0</x:v>
      </x:c>
      <x:c r="R16" s="27" t="n">
        <x:f>Q16*'Inputs'!$C$7</x:f>
        <x:v>0</x:v>
      </x:c>
      <x:c r="S16" s="27" t="n">
        <x:f>G16*'Inputs'!$C$10</x:f>
        <x:v>8.1</x:v>
      </x:c>
      <x:c r="T16" s="18" t="n">
        <x:f>SUM(H16:P16)+SUM(R16:S16)</x:f>
        <x:v>184.1</x:v>
      </x:c>
      <x:c r="U16" s="18" t="n">
        <x:f>U15+G16</x:f>
        <x:v>3744</x:v>
      </x:c>
      <x:c r="V16" s="18" t="n">
        <x:f>V15+T16</x:f>
        <x:v>7447.320000000003</x:v>
      </x:c>
      <x:c r="W16" s="18" t="n">
        <x:f>U16-V16</x:f>
        <x:v>-3703.3200000000033</x:v>
      </x:c>
      <x:c r="X16" s="16" t="n">
        <x:f>X15+Q16-E16</x:f>
        <x:v>142</x:v>
      </x:c>
      <x:c r="Y16" s="27" t="n">
        <x:f>0</x:f>
        <x:v>0</x:v>
      </x:c>
      <x:c r="Z16" s="27" t="n">
        <x:f>0</x:f>
        <x:v>0</x:v>
      </x:c>
      <x:c r="AA16" s="27" t="n">
        <x:f>AC15</x:f>
        <x:v>13710.78</x:v>
      </x:c>
      <x:c r="AB16" s="18" t="n">
        <x:f>AA16-T16-Y16+Z16</x:f>
        <x:v>13526.68</x:v>
      </x:c>
      <x:c r="AC16" s="18" t="n">
        <x:f>AB16+G16</x:f>
        <x:v>13796.68</x:v>
      </x:c>
      <x:c r="AE16" t="str">
        <x:f>TEXT(A16,"mmm d")</x:f>
        <x:v>Jun 10</x:v>
      </x:c>
      <x:c r="AF16" s="46" t="n">
        <x:f>U16</x:f>
        <x:v>3744</x:v>
      </x:c>
      <x:c r="AG16" s="46" t="n">
        <x:f>V16</x:f>
        <x:v>7447.320000000003</x:v>
      </x:c>
    </x:row>
    <x:row r="17" ht="22" customHeight="1">
      <x:c r="A17" s="23" t="n">
        <x:f>46549</x:f>
        <x:v>46549</x:v>
      </x:c>
      <x:c r="B17" s="24" t="str">
        <x:f>"Friday"</x:f>
        <x:v>Friday</x:v>
      </x:c>
      <x:c r="C17" s="26" t="n">
        <x:f>SUMIFS('Inputs'!$H$40:$H$116,'Inputs'!$F$40:$F$116,B17)*IF(MONTH(A17)=8,1-'Inputs'!$C$23,1)</x:f>
        <x:v>565</x:v>
      </x:c>
      <x:c r="D17" s="25" t="n">
        <x:f>D16+C17</x:f>
        <x:v>7582</x:v>
      </x:c>
      <x:c r="E17" s="19" t="n">
        <x:f>ROUND(D17*'Inputs'!$C$30,0)-F16</x:f>
        <x:v>17</x:v>
      </x:c>
      <x:c r="F17" s="16" t="n">
        <x:f>F16+E17</x:f>
        <x:v>225</x:v>
      </x:c>
      <x:c r="G17" s="27" t="n">
        <x:f>E17*'Inputs'!$C$5</x:f>
        <x:v>306</x:v>
      </x:c>
      <x:c r="H17" s="27" t="n">
        <x:f>'Inputs'!$C$11*'Inputs'!$C$12</x:f>
        <x:v>176</x:v>
      </x:c>
      <x:c r="I17" s="27" t="n">
        <x:f>IF(AND(DAY(A17)=1,A17&gt;'Inputs'!$C$24),'Inputs'!$C$13,0)</x:f>
        <x:v>0</x:v>
      </x:c>
      <x:c r="J17" s="27" t="n">
        <x:f>IF(DAY(A17)=1,'Inputs'!$C$14,0)</x:f>
        <x:v>0</x:v>
      </x:c>
      <x:c r="K17" s="27" t="n">
        <x:f>IF(DAY(A17)=1,'Inputs'!$C$15,0)</x:f>
        <x:v>0</x:v>
      </x:c>
      <x:c r="L17" s="27" t="n">
        <x:f>IF(DAY(A17)=1,'Inputs'!$C$16,0)</x:f>
        <x:v>0</x:v>
      </x:c>
      <x:c r="M17" s="27" t="n">
        <x:f>0</x:f>
        <x:v>0</x:v>
      </x:c>
      <x:c r="N17" s="27" t="n">
        <x:f>0</x:f>
        <x:v>0</x:v>
      </x:c>
      <x:c r="O17" s="27" t="n">
        <x:f>0</x:f>
        <x:v>0</x:v>
      </x:c>
      <x:c r="P17" s="27" t="n">
        <x:f>0</x:f>
        <x:v>0</x:v>
      </x:c>
      <x:c r="Q17" s="19" t="n">
        <x:f>0</x:f>
        <x:v>0</x:v>
      </x:c>
      <x:c r="R17" s="27" t="n">
        <x:f>Q17*'Inputs'!$C$7</x:f>
        <x:v>0</x:v>
      </x:c>
      <x:c r="S17" s="27" t="n">
        <x:f>G17*'Inputs'!$C$10</x:f>
        <x:v>9.18</x:v>
      </x:c>
      <x:c r="T17" s="18" t="n">
        <x:f>SUM(H17:P17)+SUM(R17:S17)</x:f>
        <x:v>185.18</x:v>
      </x:c>
      <x:c r="U17" s="18" t="n">
        <x:f>U16+G17</x:f>
        <x:v>4050</x:v>
      </x:c>
      <x:c r="V17" s="18" t="n">
        <x:f>V16+T17</x:f>
        <x:v>7632.500000000004</x:v>
      </x:c>
      <x:c r="W17" s="18" t="n">
        <x:f>U17-V17</x:f>
        <x:v>-3582.5000000000036</x:v>
      </x:c>
      <x:c r="X17" s="16" t="n">
        <x:f>X16+Q17-E17</x:f>
        <x:v>125</x:v>
      </x:c>
      <x:c r="Y17" s="27" t="n">
        <x:f>0</x:f>
        <x:v>0</x:v>
      </x:c>
      <x:c r="Z17" s="27" t="n">
        <x:f>0</x:f>
        <x:v>0</x:v>
      </x:c>
      <x:c r="AA17" s="27" t="n">
        <x:f>AC16</x:f>
        <x:v>13796.68</x:v>
      </x:c>
      <x:c r="AB17" s="18" t="n">
        <x:f>AA17-T17-Y17+Z17</x:f>
        <x:v>13611.5</x:v>
      </x:c>
      <x:c r="AC17" s="18" t="n">
        <x:f>AB17+G17</x:f>
        <x:v>13917.5</x:v>
      </x:c>
      <x:c r="AE17" t="str">
        <x:f>TEXT(A17,"mmm d")</x:f>
        <x:v>Jun 11</x:v>
      </x:c>
      <x:c r="AF17" s="46" t="n">
        <x:f>U17</x:f>
        <x:v>4050</x:v>
      </x:c>
      <x:c r="AG17" s="46" t="n">
        <x:f>V17</x:f>
        <x:v>7632.500000000004</x:v>
      </x:c>
    </x:row>
    <x:row r="18" ht="22" customHeight="1">
      <x:c r="A18" s="23" t="n">
        <x:f>46550</x:f>
        <x:v>46550</x:v>
      </x:c>
      <x:c r="B18" s="24" t="str">
        <x:f>"Saturday"</x:f>
        <x:v>Saturday</x:v>
      </x:c>
      <x:c r="C18" s="26" t="n">
        <x:f>SUMIFS('Inputs'!$H$40:$H$116,'Inputs'!$F$40:$F$116,B18)*IF(MONTH(A18)=8,1-'Inputs'!$C$23,1)</x:f>
        <x:v>1529</x:v>
      </x:c>
      <x:c r="D18" s="25" t="n">
        <x:f>D17+C18</x:f>
        <x:v>9111</x:v>
      </x:c>
      <x:c r="E18" s="19" t="n">
        <x:f>ROUND(D18*'Inputs'!$C$30,0)-F17</x:f>
        <x:v>45</x:v>
      </x:c>
      <x:c r="F18" s="16" t="n">
        <x:f>F17+E18</x:f>
        <x:v>270</x:v>
      </x:c>
      <x:c r="G18" s="27" t="n">
        <x:f>E18*'Inputs'!$C$5</x:f>
        <x:v>810</x:v>
      </x:c>
      <x:c r="H18" s="27" t="n">
        <x:f>'Inputs'!$C$11*'Inputs'!$C$12</x:f>
        <x:v>176</x:v>
      </x:c>
      <x:c r="I18" s="27" t="n">
        <x:f>IF(AND(DAY(A18)=1,A18&gt;'Inputs'!$C$24),'Inputs'!$C$13,0)</x:f>
        <x:v>0</x:v>
      </x:c>
      <x:c r="J18" s="27" t="n">
        <x:f>IF(DAY(A18)=1,'Inputs'!$C$14,0)</x:f>
        <x:v>0</x:v>
      </x:c>
      <x:c r="K18" s="27" t="n">
        <x:f>IF(DAY(A18)=1,'Inputs'!$C$15,0)</x:f>
        <x:v>0</x:v>
      </x:c>
      <x:c r="L18" s="27" t="n">
        <x:f>IF(DAY(A18)=1,'Inputs'!$C$16,0)</x:f>
        <x:v>0</x:v>
      </x:c>
      <x:c r="M18" s="27" t="n">
        <x:f>0</x:f>
        <x:v>0</x:v>
      </x:c>
      <x:c r="N18" s="27" t="n">
        <x:f>0</x:f>
        <x:v>0</x:v>
      </x:c>
      <x:c r="O18" s="27" t="n">
        <x:f>0</x:f>
        <x:v>0</x:v>
      </x:c>
      <x:c r="P18" s="27" t="n">
        <x:f>0</x:f>
        <x:v>0</x:v>
      </x:c>
      <x:c r="Q18" s="19" t="n">
        <x:f>0</x:f>
        <x:v>0</x:v>
      </x:c>
      <x:c r="R18" s="27" t="n">
        <x:f>Q18*'Inputs'!$C$7</x:f>
        <x:v>0</x:v>
      </x:c>
      <x:c r="S18" s="27" t="n">
        <x:f>G18*'Inputs'!$C$10</x:f>
        <x:v>24.3</x:v>
      </x:c>
      <x:c r="T18" s="18" t="n">
        <x:f>SUM(H18:P18)+SUM(R18:S18)</x:f>
        <x:v>200.3</x:v>
      </x:c>
      <x:c r="U18" s="18" t="n">
        <x:f>U17+G18</x:f>
        <x:v>4860</x:v>
      </x:c>
      <x:c r="V18" s="18" t="n">
        <x:f>V17+T18</x:f>
        <x:v>7832.800000000004</x:v>
      </x:c>
      <x:c r="W18" s="18" t="n">
        <x:f>U18-V18</x:f>
        <x:v>-2972.800000000004</x:v>
      </x:c>
      <x:c r="X18" s="16" t="n">
        <x:f>X17+Q18-E18</x:f>
        <x:v>80</x:v>
      </x:c>
      <x:c r="Y18" s="27" t="n">
        <x:f>0</x:f>
        <x:v>0</x:v>
      </x:c>
      <x:c r="Z18" s="27" t="n">
        <x:f>0</x:f>
        <x:v>0</x:v>
      </x:c>
      <x:c r="AA18" s="27" t="n">
        <x:f>AC17</x:f>
        <x:v>13917.5</x:v>
      </x:c>
      <x:c r="AB18" s="18" t="n">
        <x:f>AA18-T18-Y18+Z18</x:f>
        <x:v>13717.2</x:v>
      </x:c>
      <x:c r="AC18" s="18" t="n">
        <x:f>AB18+G18</x:f>
        <x:v>14527.2</x:v>
      </x:c>
      <x:c r="AE18" t="str">
        <x:f>TEXT(A18,"mmm d")</x:f>
        <x:v>Jun 12</x:v>
      </x:c>
      <x:c r="AF18" s="46" t="n">
        <x:f>U18</x:f>
        <x:v>4860</x:v>
      </x:c>
      <x:c r="AG18" s="46" t="n">
        <x:f>V18</x:f>
        <x:v>7832.800000000004</x:v>
      </x:c>
    </x:row>
    <x:row r="19" ht="22" customHeight="1">
      <x:c r="A19" s="23" t="n">
        <x:f>46551</x:f>
        <x:v>46551</x:v>
      </x:c>
      <x:c r="B19" s="24" t="str">
        <x:f>"Sunday"</x:f>
        <x:v>Sunday</x:v>
      </x:c>
      <x:c r="C19" s="26" t="n">
        <x:f>SUMIFS('Inputs'!$H$40:$H$116,'Inputs'!$F$40:$F$116,B19)*IF(MONTH(A19)=8,1-'Inputs'!$C$23,1)</x:f>
        <x:v>1463</x:v>
      </x:c>
      <x:c r="D19" s="25" t="n">
        <x:f>D18+C19</x:f>
        <x:v>10574</x:v>
      </x:c>
      <x:c r="E19" s="19" t="n">
        <x:f>ROUND(D19*'Inputs'!$C$30,0)-F18</x:f>
        <x:v>43</x:v>
      </x:c>
      <x:c r="F19" s="16" t="n">
        <x:f>F18+E19</x:f>
        <x:v>313</x:v>
      </x:c>
      <x:c r="G19" s="27" t="n">
        <x:f>E19*'Inputs'!$C$5</x:f>
        <x:v>774</x:v>
      </x:c>
      <x:c r="H19" s="27" t="n">
        <x:f>'Inputs'!$C$11*'Inputs'!$C$12</x:f>
        <x:v>176</x:v>
      </x:c>
      <x:c r="I19" s="27" t="n">
        <x:f>IF(AND(DAY(A19)=1,A19&gt;'Inputs'!$C$24),'Inputs'!$C$13,0)</x:f>
        <x:v>0</x:v>
      </x:c>
      <x:c r="J19" s="27" t="n">
        <x:f>IF(DAY(A19)=1,'Inputs'!$C$14,0)</x:f>
        <x:v>0</x:v>
      </x:c>
      <x:c r="K19" s="27" t="n">
        <x:f>IF(DAY(A19)=1,'Inputs'!$C$15,0)</x:f>
        <x:v>0</x:v>
      </x:c>
      <x:c r="L19" s="27" t="n">
        <x:f>IF(DAY(A19)=1,'Inputs'!$C$16,0)</x:f>
        <x:v>0</x:v>
      </x:c>
      <x:c r="M19" s="27" t="n">
        <x:f>0</x:f>
        <x:v>0</x:v>
      </x:c>
      <x:c r="N19" s="27" t="n">
        <x:f>0</x:f>
        <x:v>0</x:v>
      </x:c>
      <x:c r="O19" s="27" t="n">
        <x:f>0</x:f>
        <x:v>0</x:v>
      </x:c>
      <x:c r="P19" s="27" t="n">
        <x:f>0</x:f>
        <x:v>0</x:v>
      </x:c>
      <x:c r="Q19" s="19" t="n">
        <x:f>0</x:f>
        <x:v>0</x:v>
      </x:c>
      <x:c r="R19" s="27" t="n">
        <x:f>Q19*'Inputs'!$C$7</x:f>
        <x:v>0</x:v>
      </x:c>
      <x:c r="S19" s="27" t="n">
        <x:f>G19*'Inputs'!$C$10</x:f>
        <x:v>23.22</x:v>
      </x:c>
      <x:c r="T19" s="18" t="n">
        <x:f>SUM(H19:P19)+SUM(R19:S19)</x:f>
        <x:v>199.22</x:v>
      </x:c>
      <x:c r="U19" s="18" t="n">
        <x:f>U18+G19</x:f>
        <x:v>5634</x:v>
      </x:c>
      <x:c r="V19" s="18" t="n">
        <x:f>V18+T19</x:f>
        <x:v>8032.020000000004</x:v>
      </x:c>
      <x:c r="W19" s="18" t="n">
        <x:f>U19-V19</x:f>
        <x:v>-2398.020000000004</x:v>
      </x:c>
      <x:c r="X19" s="16" t="n">
        <x:f>X18+Q19-E19</x:f>
        <x:v>37</x:v>
      </x:c>
      <x:c r="Y19" s="27" t="n">
        <x:f>0</x:f>
        <x:v>0</x:v>
      </x:c>
      <x:c r="Z19" s="27" t="n">
        <x:f>0</x:f>
        <x:v>0</x:v>
      </x:c>
      <x:c r="AA19" s="27" t="n">
        <x:f>AC18</x:f>
        <x:v>14527.2</x:v>
      </x:c>
      <x:c r="AB19" s="18" t="n">
        <x:f>AA19-T19-Y19+Z19</x:f>
        <x:v>14327.980000000001</x:v>
      </x:c>
      <x:c r="AC19" s="18" t="n">
        <x:f>AB19+G19</x:f>
        <x:v>15101.980000000001</x:v>
      </x:c>
      <x:c r="AE19" t="str">
        <x:f>TEXT(A19,"mmm d")</x:f>
        <x:v>Jun 13</x:v>
      </x:c>
      <x:c r="AF19" s="46" t="n">
        <x:f>U19</x:f>
        <x:v>5634</x:v>
      </x:c>
      <x:c r="AG19" s="46" t="n">
        <x:f>V19</x:f>
        <x:v>8032.020000000004</x:v>
      </x:c>
    </x:row>
    <x:row r="20" ht="22" customHeight="1">
      <x:c r="A20" s="23" t="n">
        <x:f>46552</x:f>
        <x:v>46552</x:v>
      </x:c>
      <x:c r="B20" s="24" t="str">
        <x:f>"Monday"</x:f>
        <x:v>Monday</x:v>
      </x:c>
      <x:c r="C20" s="26" t="n">
        <x:f>SUMIFS('Inputs'!$H$40:$H$116,'Inputs'!$F$40:$F$116,B20)*IF(MONTH(A20)=8,1-'Inputs'!$C$23,1)</x:f>
        <x:v>488</x:v>
      </x:c>
      <x:c r="D20" s="25" t="n">
        <x:f>D19+C20</x:f>
        <x:v>11062</x:v>
      </x:c>
      <x:c r="E20" s="19" t="n">
        <x:f>ROUND(D20*'Inputs'!$C$30,0)-F19</x:f>
        <x:v>15</x:v>
      </x:c>
      <x:c r="F20" s="16" t="n">
        <x:f>F19+E20</x:f>
        <x:v>328</x:v>
      </x:c>
      <x:c r="G20" s="27" t="n">
        <x:f>E20*'Inputs'!$C$5</x:f>
        <x:v>270</x:v>
      </x:c>
      <x:c r="H20" s="27" t="n">
        <x:f>'Inputs'!$C$11*'Inputs'!$C$12</x:f>
        <x:v>176</x:v>
      </x:c>
      <x:c r="I20" s="27" t="n">
        <x:f>IF(AND(DAY(A20)=1,A20&gt;'Inputs'!$C$24),'Inputs'!$C$13,0)</x:f>
        <x:v>0</x:v>
      </x:c>
      <x:c r="J20" s="27" t="n">
        <x:f>IF(DAY(A20)=1,'Inputs'!$C$14,0)</x:f>
        <x:v>0</x:v>
      </x:c>
      <x:c r="K20" s="27" t="n">
        <x:f>IF(DAY(A20)=1,'Inputs'!$C$15,0)</x:f>
        <x:v>0</x:v>
      </x:c>
      <x:c r="L20" s="27" t="n">
        <x:f>IF(DAY(A20)=1,'Inputs'!$C$16,0)</x:f>
        <x:v>0</x:v>
      </x:c>
      <x:c r="M20" s="27" t="n">
        <x:f>0</x:f>
        <x:v>0</x:v>
      </x:c>
      <x:c r="N20" s="27" t="n">
        <x:f>0</x:f>
        <x:v>0</x:v>
      </x:c>
      <x:c r="O20" s="27" t="n">
        <x:f>0</x:f>
        <x:v>0</x:v>
      </x:c>
      <x:c r="P20" s="27" t="n">
        <x:f>0</x:f>
        <x:v>0</x:v>
      </x:c>
      <x:c r="Q20" s="19" t="n">
        <x:f>0</x:f>
        <x:v>0</x:v>
      </x:c>
      <x:c r="R20" s="27" t="n">
        <x:f>Q20*'Inputs'!$C$7</x:f>
        <x:v>0</x:v>
      </x:c>
      <x:c r="S20" s="27" t="n">
        <x:f>G20*'Inputs'!$C$10</x:f>
        <x:v>8.1</x:v>
      </x:c>
      <x:c r="T20" s="18" t="n">
        <x:f>SUM(H20:P20)+SUM(R20:S20)</x:f>
        <x:v>184.1</x:v>
      </x:c>
      <x:c r="U20" s="18" t="n">
        <x:f>U19+G20</x:f>
        <x:v>5904</x:v>
      </x:c>
      <x:c r="V20" s="18" t="n">
        <x:f>V19+T20</x:f>
        <x:v>8216.120000000004</x:v>
      </x:c>
      <x:c r="W20" s="18" t="n">
        <x:f>U20-V20</x:f>
        <x:v>-2312.1200000000044</x:v>
      </x:c>
      <x:c r="X20" s="16" t="n">
        <x:f>X19+Q20-E20</x:f>
        <x:v>22</x:v>
      </x:c>
      <x:c r="Y20" s="27" t="n">
        <x:f>0</x:f>
        <x:v>0</x:v>
      </x:c>
      <x:c r="Z20" s="27" t="n">
        <x:f>0</x:f>
        <x:v>0</x:v>
      </x:c>
      <x:c r="AA20" s="27" t="n">
        <x:f>AC19</x:f>
        <x:v>15101.980000000001</x:v>
      </x:c>
      <x:c r="AB20" s="18" t="n">
        <x:f>AA20-T20-Y20+Z20</x:f>
        <x:v>14917.880000000001</x:v>
      </x:c>
      <x:c r="AC20" s="18" t="n">
        <x:f>AB20+G20</x:f>
        <x:v>15187.880000000001</x:v>
      </x:c>
      <x:c r="AE20" t="str">
        <x:f>TEXT(A20,"mmm d")</x:f>
        <x:v>Jun 14</x:v>
      </x:c>
      <x:c r="AF20" s="46" t="n">
        <x:f>U20</x:f>
        <x:v>5904</x:v>
      </x:c>
      <x:c r="AG20" s="46" t="n">
        <x:f>V20</x:f>
        <x:v>8216.120000000004</x:v>
      </x:c>
    </x:row>
    <x:row r="21" ht="22" customHeight="1">
      <x:c r="A21" s="23" t="n">
        <x:f>46553</x:f>
        <x:v>46553</x:v>
      </x:c>
      <x:c r="B21" s="24" t="str">
        <x:f>"Tuesday"</x:f>
        <x:v>Tuesday</x:v>
      </x:c>
      <x:c r="C21" s="26" t="n">
        <x:f>SUMIFS('Inputs'!$H$40:$H$116,'Inputs'!$F$40:$F$116,B21)*IF(MONTH(A21)=8,1-'Inputs'!$C$23,1)</x:f>
        <x:v>510</x:v>
      </x:c>
      <x:c r="D21" s="25" t="n">
        <x:f>D20+C21</x:f>
        <x:v>11572</x:v>
      </x:c>
      <x:c r="E21" s="19" t="n">
        <x:f>ROUND(D21*'Inputs'!$C$30,0)-F20</x:f>
        <x:v>15</x:v>
      </x:c>
      <x:c r="F21" s="16" t="n">
        <x:f>F20+E21</x:f>
        <x:v>343</x:v>
      </x:c>
      <x:c r="G21" s="27" t="n">
        <x:f>E21*'Inputs'!$C$5</x:f>
        <x:v>270</x:v>
      </x:c>
      <x:c r="H21" s="27" t="n">
        <x:f>'Inputs'!$C$11*'Inputs'!$C$12</x:f>
        <x:v>176</x:v>
      </x:c>
      <x:c r="I21" s="27" t="n">
        <x:f>IF(AND(DAY(A21)=1,A21&gt;'Inputs'!$C$24),'Inputs'!$C$13,0)</x:f>
        <x:v>0</x:v>
      </x:c>
      <x:c r="J21" s="27" t="n">
        <x:f>IF(DAY(A21)=1,'Inputs'!$C$14,0)</x:f>
        <x:v>0</x:v>
      </x:c>
      <x:c r="K21" s="27" t="n">
        <x:f>IF(DAY(A21)=1,'Inputs'!$C$15,0)</x:f>
        <x:v>0</x:v>
      </x:c>
      <x:c r="L21" s="27" t="n">
        <x:f>IF(DAY(A21)=1,'Inputs'!$C$16,0)</x:f>
        <x:v>0</x:v>
      </x:c>
      <x:c r="M21" s="27" t="n">
        <x:f>0</x:f>
        <x:v>0</x:v>
      </x:c>
      <x:c r="N21" s="27" t="n">
        <x:f>0</x:f>
        <x:v>0</x:v>
      </x:c>
      <x:c r="O21" s="27" t="n">
        <x:f>0</x:f>
        <x:v>0</x:v>
      </x:c>
      <x:c r="P21" s="27" t="n">
        <x:f>0</x:f>
        <x:v>0</x:v>
      </x:c>
      <x:c r="Q21" s="19" t="n">
        <x:f>ROUNDUP(MAX(0,SUM(E21:E27)-X20)/'Inputs'!$C$8,0)*'Inputs'!$C$8</x:f>
        <x:v>150</x:v>
      </x:c>
      <x:c r="R21" s="27" t="n">
        <x:f>Q21*'Inputs'!$C$7</x:f>
        <x:v>600</x:v>
      </x:c>
      <x:c r="S21" s="27" t="n">
        <x:f>G21*'Inputs'!$C$10</x:f>
        <x:v>8.1</x:v>
      </x:c>
      <x:c r="T21" s="18" t="n">
        <x:f>SUM(H21:P21)+SUM(R21:S21)</x:f>
        <x:v>784.1</x:v>
      </x:c>
      <x:c r="U21" s="18" t="n">
        <x:f>U20+G21</x:f>
        <x:v>6174</x:v>
      </x:c>
      <x:c r="V21" s="18" t="n">
        <x:f>V20+T21</x:f>
        <x:v>9000.220000000005</x:v>
      </x:c>
      <x:c r="W21" s="18" t="n">
        <x:f>U21-V21</x:f>
        <x:v>-2826.220000000005</x:v>
      </x:c>
      <x:c r="X21" s="16" t="n">
        <x:f>X20+Q21-E21</x:f>
        <x:v>157</x:v>
      </x:c>
      <x:c r="Y21" s="27" t="n">
        <x:f>0</x:f>
        <x:v>0</x:v>
      </x:c>
      <x:c r="Z21" s="27" t="n">
        <x:f>0</x:f>
        <x:v>0</x:v>
      </x:c>
      <x:c r="AA21" s="27" t="n">
        <x:f>AC20</x:f>
        <x:v>15187.880000000001</x:v>
      </x:c>
      <x:c r="AB21" s="18" t="n">
        <x:f>AA21-T21-Y21+Z21</x:f>
        <x:v>14403.78</x:v>
      </x:c>
      <x:c r="AC21" s="18" t="n">
        <x:f>AB21+G21</x:f>
        <x:v>14673.78</x:v>
      </x:c>
      <x:c r="AE21" t="str">
        <x:f>TEXT(A21,"mmm d")</x:f>
        <x:v>Jun 15</x:v>
      </x:c>
      <x:c r="AF21" s="46" t="n">
        <x:f>U21</x:f>
        <x:v>6174</x:v>
      </x:c>
      <x:c r="AG21" s="46" t="n">
        <x:f>V21</x:f>
        <x:v>9000.220000000005</x:v>
      </x:c>
    </x:row>
    <x:row r="22" ht="22" customHeight="1">
      <x:c r="A22" s="23" t="n">
        <x:f>46554</x:f>
        <x:v>46554</x:v>
      </x:c>
      <x:c r="B22" s="24" t="str">
        <x:f>"Wednesday"</x:f>
        <x:v>Wednesday</x:v>
      </x:c>
      <x:c r="C22" s="26" t="n">
        <x:f>SUMIFS('Inputs'!$H$40:$H$116,'Inputs'!$F$40:$F$116,B22)*IF(MONTH(A22)=8,1-'Inputs'!$C$23,1)</x:f>
        <x:v>488</x:v>
      </x:c>
      <x:c r="D22" s="25" t="n">
        <x:f>D21+C22</x:f>
        <x:v>12060</x:v>
      </x:c>
      <x:c r="E22" s="19" t="n">
        <x:f>ROUND(D22*'Inputs'!$C$30,0)-F21</x:f>
        <x:v>14</x:v>
      </x:c>
      <x:c r="F22" s="16" t="n">
        <x:f>F21+E22</x:f>
        <x:v>357</x:v>
      </x:c>
      <x:c r="G22" s="27" t="n">
        <x:f>E22*'Inputs'!$C$5</x:f>
        <x:v>252</x:v>
      </x:c>
      <x:c r="H22" s="27" t="n">
        <x:f>'Inputs'!$C$11*'Inputs'!$C$12</x:f>
        <x:v>176</x:v>
      </x:c>
      <x:c r="I22" s="27" t="n">
        <x:f>IF(AND(DAY(A22)=1,A22&gt;'Inputs'!$C$24),'Inputs'!$C$13,0)</x:f>
        <x:v>0</x:v>
      </x:c>
      <x:c r="J22" s="27" t="n">
        <x:f>IF(DAY(A22)=1,'Inputs'!$C$14,0)</x:f>
        <x:v>0</x:v>
      </x:c>
      <x:c r="K22" s="27" t="n">
        <x:f>IF(DAY(A22)=1,'Inputs'!$C$15,0)</x:f>
        <x:v>0</x:v>
      </x:c>
      <x:c r="L22" s="27" t="n">
        <x:f>IF(DAY(A22)=1,'Inputs'!$C$16,0)</x:f>
        <x:v>0</x:v>
      </x:c>
      <x:c r="M22" s="27" t="n">
        <x:f>0</x:f>
        <x:v>0</x:v>
      </x:c>
      <x:c r="N22" s="27" t="n">
        <x:f>0</x:f>
        <x:v>0</x:v>
      </x:c>
      <x:c r="O22" s="27" t="n">
        <x:f>0</x:f>
        <x:v>0</x:v>
      </x:c>
      <x:c r="P22" s="27" t="n">
        <x:f>0</x:f>
        <x:v>0</x:v>
      </x:c>
      <x:c r="Q22" s="19" t="n">
        <x:f>0</x:f>
        <x:v>0</x:v>
      </x:c>
      <x:c r="R22" s="27" t="n">
        <x:f>Q22*'Inputs'!$C$7</x:f>
        <x:v>0</x:v>
      </x:c>
      <x:c r="S22" s="27" t="n">
        <x:f>G22*'Inputs'!$C$10</x:f>
        <x:v>7.56</x:v>
      </x:c>
      <x:c r="T22" s="18" t="n">
        <x:f>SUM(H22:P22)+SUM(R22:S22)</x:f>
        <x:v>183.56</x:v>
      </x:c>
      <x:c r="U22" s="18" t="n">
        <x:f>U21+G22</x:f>
        <x:v>6426</x:v>
      </x:c>
      <x:c r="V22" s="18" t="n">
        <x:f>V21+T22</x:f>
        <x:v>9183.780000000004</x:v>
      </x:c>
      <x:c r="W22" s="18" t="n">
        <x:f>U22-V22</x:f>
        <x:v>-2757.7800000000043</x:v>
      </x:c>
      <x:c r="X22" s="16" t="n">
        <x:f>X21+Q22-E22</x:f>
        <x:v>143</x:v>
      </x:c>
      <x:c r="Y22" s="27" t="n">
        <x:f>0</x:f>
        <x:v>0</x:v>
      </x:c>
      <x:c r="Z22" s="27" t="n">
        <x:f>0</x:f>
        <x:v>0</x:v>
      </x:c>
      <x:c r="AA22" s="27" t="n">
        <x:f>AC21</x:f>
        <x:v>14673.78</x:v>
      </x:c>
      <x:c r="AB22" s="18" t="n">
        <x:f>AA22-T22-Y22+Z22</x:f>
        <x:v>14490.220000000001</x:v>
      </x:c>
      <x:c r="AC22" s="18" t="n">
        <x:f>AB22+G22</x:f>
        <x:v>14742.220000000001</x:v>
      </x:c>
      <x:c r="AE22" t="str">
        <x:f>TEXT(A22,"mmm d")</x:f>
        <x:v>Jun 16</x:v>
      </x:c>
      <x:c r="AF22" s="46" t="n">
        <x:f>U22</x:f>
        <x:v>6426</x:v>
      </x:c>
      <x:c r="AG22" s="46" t="n">
        <x:f>V22</x:f>
        <x:v>9183.780000000004</x:v>
      </x:c>
    </x:row>
    <x:row r="23" ht="22" customHeight="1">
      <x:c r="A23" s="23" t="n">
        <x:f>46555</x:f>
        <x:v>46555</x:v>
      </x:c>
      <x:c r="B23" s="24" t="str">
        <x:f>"Thursday"</x:f>
        <x:v>Thursday</x:v>
      </x:c>
      <x:c r="C23" s="26" t="n">
        <x:f>SUMIFS('Inputs'!$H$40:$H$116,'Inputs'!$F$40:$F$116,B23)*IF(MONTH(A23)=8,1-'Inputs'!$C$23,1)</x:f>
        <x:v>488</x:v>
      </x:c>
      <x:c r="D23" s="25" t="n">
        <x:f>D22+C23</x:f>
        <x:v>12548</x:v>
      </x:c>
      <x:c r="E23" s="19" t="n">
        <x:f>ROUND(D23*'Inputs'!$C$30,0)-F22</x:f>
        <x:v>15</x:v>
      </x:c>
      <x:c r="F23" s="16" t="n">
        <x:f>F22+E23</x:f>
        <x:v>372</x:v>
      </x:c>
      <x:c r="G23" s="27" t="n">
        <x:f>E23*'Inputs'!$C$5</x:f>
        <x:v>270</x:v>
      </x:c>
      <x:c r="H23" s="27" t="n">
        <x:f>'Inputs'!$C$11*'Inputs'!$C$12</x:f>
        <x:v>176</x:v>
      </x:c>
      <x:c r="I23" s="27" t="n">
        <x:f>IF(AND(DAY(A23)=1,A23&gt;'Inputs'!$C$24),'Inputs'!$C$13,0)</x:f>
        <x:v>0</x:v>
      </x:c>
      <x:c r="J23" s="27" t="n">
        <x:f>IF(DAY(A23)=1,'Inputs'!$C$14,0)</x:f>
        <x:v>0</x:v>
      </x:c>
      <x:c r="K23" s="27" t="n">
        <x:f>IF(DAY(A23)=1,'Inputs'!$C$15,0)</x:f>
        <x:v>0</x:v>
      </x:c>
      <x:c r="L23" s="27" t="n">
        <x:f>IF(DAY(A23)=1,'Inputs'!$C$16,0)</x:f>
        <x:v>0</x:v>
      </x:c>
      <x:c r="M23" s="27" t="n">
        <x:f>0</x:f>
        <x:v>0</x:v>
      </x:c>
      <x:c r="N23" s="27" t="n">
        <x:f>0</x:f>
        <x:v>0</x:v>
      </x:c>
      <x:c r="O23" s="27" t="n">
        <x:f>0</x:f>
        <x:v>0</x:v>
      </x:c>
      <x:c r="P23" s="27" t="n">
        <x:f>0</x:f>
        <x:v>0</x:v>
      </x:c>
      <x:c r="Q23" s="19" t="n">
        <x:f>0</x:f>
        <x:v>0</x:v>
      </x:c>
      <x:c r="R23" s="27" t="n">
        <x:f>Q23*'Inputs'!$C$7</x:f>
        <x:v>0</x:v>
      </x:c>
      <x:c r="S23" s="27" t="n">
        <x:f>G23*'Inputs'!$C$10</x:f>
        <x:v>8.1</x:v>
      </x:c>
      <x:c r="T23" s="18" t="n">
        <x:f>SUM(H23:P23)+SUM(R23:S23)</x:f>
        <x:v>184.1</x:v>
      </x:c>
      <x:c r="U23" s="18" t="n">
        <x:f>U22+G23</x:f>
        <x:v>6696</x:v>
      </x:c>
      <x:c r="V23" s="18" t="n">
        <x:f>V22+T23</x:f>
        <x:v>9367.880000000005</x:v>
      </x:c>
      <x:c r="W23" s="18" t="n">
        <x:f>U23-V23</x:f>
        <x:v>-2671.8800000000047</x:v>
      </x:c>
      <x:c r="X23" s="16" t="n">
        <x:f>X22+Q23-E23</x:f>
        <x:v>128</x:v>
      </x:c>
      <x:c r="Y23" s="27" t="n">
        <x:f>0</x:f>
        <x:v>0</x:v>
      </x:c>
      <x:c r="Z23" s="27" t="n">
        <x:f>0</x:f>
        <x:v>0</x:v>
      </x:c>
      <x:c r="AA23" s="27" t="n">
        <x:f>AC22</x:f>
        <x:v>14742.220000000001</x:v>
      </x:c>
      <x:c r="AB23" s="18" t="n">
        <x:f>AA23-T23-Y23+Z23</x:f>
        <x:v>14558.12</x:v>
      </x:c>
      <x:c r="AC23" s="18" t="n">
        <x:f>AB23+G23</x:f>
        <x:v>14828.12</x:v>
      </x:c>
      <x:c r="AE23" t="str">
        <x:f>TEXT(A23,"mmm d")</x:f>
        <x:v>Jun 17</x:v>
      </x:c>
      <x:c r="AF23" s="46" t="n">
        <x:f>U23</x:f>
        <x:v>6696</x:v>
      </x:c>
      <x:c r="AG23" s="46" t="n">
        <x:f>V23</x:f>
        <x:v>9367.880000000005</x:v>
      </x:c>
    </x:row>
    <x:row r="24" ht="22" customHeight="1">
      <x:c r="A24" s="23" t="n">
        <x:f>46556</x:f>
        <x:v>46556</x:v>
      </x:c>
      <x:c r="B24" s="24" t="str">
        <x:f>"Friday"</x:f>
        <x:v>Friday</x:v>
      </x:c>
      <x:c r="C24" s="26" t="n">
        <x:f>SUMIFS('Inputs'!$H$40:$H$116,'Inputs'!$F$40:$F$116,B24)*IF(MONTH(A24)=8,1-'Inputs'!$C$23,1)</x:f>
        <x:v>565</x:v>
      </x:c>
      <x:c r="D24" s="25" t="n">
        <x:f>D23+C24</x:f>
        <x:v>13113</x:v>
      </x:c>
      <x:c r="E24" s="19" t="n">
        <x:f>ROUND(D24*'Inputs'!$C$30,0)-F23</x:f>
        <x:v>16</x:v>
      </x:c>
      <x:c r="F24" s="16" t="n">
        <x:f>F23+E24</x:f>
        <x:v>388</x:v>
      </x:c>
      <x:c r="G24" s="27" t="n">
        <x:f>E24*'Inputs'!$C$5</x:f>
        <x:v>288</x:v>
      </x:c>
      <x:c r="H24" s="27" t="n">
        <x:f>'Inputs'!$C$11*'Inputs'!$C$12</x:f>
        <x:v>176</x:v>
      </x:c>
      <x:c r="I24" s="27" t="n">
        <x:f>IF(AND(DAY(A24)=1,A24&gt;'Inputs'!$C$24),'Inputs'!$C$13,0)</x:f>
        <x:v>0</x:v>
      </x:c>
      <x:c r="J24" s="27" t="n">
        <x:f>IF(DAY(A24)=1,'Inputs'!$C$14,0)</x:f>
        <x:v>0</x:v>
      </x:c>
      <x:c r="K24" s="27" t="n">
        <x:f>IF(DAY(A24)=1,'Inputs'!$C$15,0)</x:f>
        <x:v>0</x:v>
      </x:c>
      <x:c r="L24" s="27" t="n">
        <x:f>IF(DAY(A24)=1,'Inputs'!$C$16,0)</x:f>
        <x:v>0</x:v>
      </x:c>
      <x:c r="M24" s="27" t="n">
        <x:f>0</x:f>
        <x:v>0</x:v>
      </x:c>
      <x:c r="N24" s="27" t="n">
        <x:f>0</x:f>
        <x:v>0</x:v>
      </x:c>
      <x:c r="O24" s="27" t="n">
        <x:f>0</x:f>
        <x:v>0</x:v>
      </x:c>
      <x:c r="P24" s="27" t="n">
        <x:f>0</x:f>
        <x:v>0</x:v>
      </x:c>
      <x:c r="Q24" s="19" t="n">
        <x:f>0</x:f>
        <x:v>0</x:v>
      </x:c>
      <x:c r="R24" s="27" t="n">
        <x:f>Q24*'Inputs'!$C$7</x:f>
        <x:v>0</x:v>
      </x:c>
      <x:c r="S24" s="27" t="n">
        <x:f>G24*'Inputs'!$C$10</x:f>
        <x:v>8.64</x:v>
      </x:c>
      <x:c r="T24" s="18" t="n">
        <x:f>SUM(H24:P24)+SUM(R24:S24)</x:f>
        <x:v>184.64</x:v>
      </x:c>
      <x:c r="U24" s="18" t="n">
        <x:f>U23+G24</x:f>
        <x:v>6984</x:v>
      </x:c>
      <x:c r="V24" s="18" t="n">
        <x:f>V23+T24</x:f>
        <x:v>9552.520000000004</x:v>
      </x:c>
      <x:c r="W24" s="18" t="n">
        <x:f>U24-V24</x:f>
        <x:v>-2568.520000000004</x:v>
      </x:c>
      <x:c r="X24" s="16" t="n">
        <x:f>X23+Q24-E24</x:f>
        <x:v>112</x:v>
      </x:c>
      <x:c r="Y24" s="27" t="n">
        <x:f>0</x:f>
        <x:v>0</x:v>
      </x:c>
      <x:c r="Z24" s="27" t="n">
        <x:f>0</x:f>
        <x:v>0</x:v>
      </x:c>
      <x:c r="AA24" s="27" t="n">
        <x:f>AC23</x:f>
        <x:v>14828.12</x:v>
      </x:c>
      <x:c r="AB24" s="18" t="n">
        <x:f>AA24-T24-Y24+Z24</x:f>
        <x:v>14643.480000000001</x:v>
      </x:c>
      <x:c r="AC24" s="18" t="n">
        <x:f>AB24+G24</x:f>
        <x:v>14931.480000000001</x:v>
      </x:c>
      <x:c r="AE24" t="str">
        <x:f>TEXT(A24,"mmm d")</x:f>
        <x:v>Jun 18</x:v>
      </x:c>
      <x:c r="AF24" s="46" t="n">
        <x:f>U24</x:f>
        <x:v>6984</x:v>
      </x:c>
      <x:c r="AG24" s="46" t="n">
        <x:f>V24</x:f>
        <x:v>9552.520000000004</x:v>
      </x:c>
    </x:row>
    <x:row r="25" ht="22" customHeight="1">
      <x:c r="A25" s="23" t="n">
        <x:f>46557</x:f>
        <x:v>46557</x:v>
      </x:c>
      <x:c r="B25" s="24" t="str">
        <x:f>"Saturday"</x:f>
        <x:v>Saturday</x:v>
      </x:c>
      <x:c r="C25" s="26" t="n">
        <x:f>SUMIFS('Inputs'!$H$40:$H$116,'Inputs'!$F$40:$F$116,B25)*IF(MONTH(A25)=8,1-'Inputs'!$C$23,1)</x:f>
        <x:v>1529</x:v>
      </x:c>
      <x:c r="D25" s="25" t="n">
        <x:f>D24+C25</x:f>
        <x:v>14642</x:v>
      </x:c>
      <x:c r="E25" s="19" t="n">
        <x:f>ROUND(D25*'Inputs'!$C$30,0)-F24</x:f>
        <x:v>46</x:v>
      </x:c>
      <x:c r="F25" s="16" t="n">
        <x:f>F24+E25</x:f>
        <x:v>434</x:v>
      </x:c>
      <x:c r="G25" s="27" t="n">
        <x:f>E25*'Inputs'!$C$5</x:f>
        <x:v>828</x:v>
      </x:c>
      <x:c r="H25" s="27" t="n">
        <x:f>'Inputs'!$C$11*'Inputs'!$C$12</x:f>
        <x:v>176</x:v>
      </x:c>
      <x:c r="I25" s="27" t="n">
        <x:f>IF(AND(DAY(A25)=1,A25&gt;'Inputs'!$C$24),'Inputs'!$C$13,0)</x:f>
        <x:v>0</x:v>
      </x:c>
      <x:c r="J25" s="27" t="n">
        <x:f>IF(DAY(A25)=1,'Inputs'!$C$14,0)</x:f>
        <x:v>0</x:v>
      </x:c>
      <x:c r="K25" s="27" t="n">
        <x:f>IF(DAY(A25)=1,'Inputs'!$C$15,0)</x:f>
        <x:v>0</x:v>
      </x:c>
      <x:c r="L25" s="27" t="n">
        <x:f>IF(DAY(A25)=1,'Inputs'!$C$16,0)</x:f>
        <x:v>0</x:v>
      </x:c>
      <x:c r="M25" s="27" t="n">
        <x:f>0</x:f>
        <x:v>0</x:v>
      </x:c>
      <x:c r="N25" s="27" t="n">
        <x:f>0</x:f>
        <x:v>0</x:v>
      </x:c>
      <x:c r="O25" s="27" t="n">
        <x:f>0</x:f>
        <x:v>0</x:v>
      </x:c>
      <x:c r="P25" s="27" t="n">
        <x:f>0</x:f>
        <x:v>0</x:v>
      </x:c>
      <x:c r="Q25" s="19" t="n">
        <x:f>0</x:f>
        <x:v>0</x:v>
      </x:c>
      <x:c r="R25" s="27" t="n">
        <x:f>Q25*'Inputs'!$C$7</x:f>
        <x:v>0</x:v>
      </x:c>
      <x:c r="S25" s="27" t="n">
        <x:f>G25*'Inputs'!$C$10</x:f>
        <x:v>24.84</x:v>
      </x:c>
      <x:c r="T25" s="18" t="n">
        <x:f>SUM(H25:P25)+SUM(R25:S25)</x:f>
        <x:v>200.84</x:v>
      </x:c>
      <x:c r="U25" s="18" t="n">
        <x:f>U24+G25</x:f>
        <x:v>7812</x:v>
      </x:c>
      <x:c r="V25" s="18" t="n">
        <x:f>V24+T25</x:f>
        <x:v>9753.360000000004</x:v>
      </x:c>
      <x:c r="W25" s="18" t="n">
        <x:f>U25-V25</x:f>
        <x:v>-1941.3600000000042</x:v>
      </x:c>
      <x:c r="X25" s="16" t="n">
        <x:f>X24+Q25-E25</x:f>
        <x:v>66</x:v>
      </x:c>
      <x:c r="Y25" s="27" t="n">
        <x:f>0</x:f>
        <x:v>0</x:v>
      </x:c>
      <x:c r="Z25" s="27" t="n">
        <x:f>0</x:f>
        <x:v>0</x:v>
      </x:c>
      <x:c r="AA25" s="27" t="n">
        <x:f>AC24</x:f>
        <x:v>14931.480000000001</x:v>
      </x:c>
      <x:c r="AB25" s="18" t="n">
        <x:f>AA25-T25-Y25+Z25</x:f>
        <x:v>14730.640000000001</x:v>
      </x:c>
      <x:c r="AC25" s="18" t="n">
        <x:f>AB25+G25</x:f>
        <x:v>15558.640000000001</x:v>
      </x:c>
      <x:c r="AE25" t="str">
        <x:f>TEXT(A25,"mmm d")</x:f>
        <x:v>Jun 19</x:v>
      </x:c>
      <x:c r="AF25" s="46" t="n">
        <x:f>U25</x:f>
        <x:v>7812</x:v>
      </x:c>
      <x:c r="AG25" s="46" t="n">
        <x:f>V25</x:f>
        <x:v>9753.360000000004</x:v>
      </x:c>
    </x:row>
    <x:row r="26" ht="22" customHeight="1">
      <x:c r="A26" s="23" t="n">
        <x:f>46558</x:f>
        <x:v>46558</x:v>
      </x:c>
      <x:c r="B26" s="24" t="str">
        <x:f>"Sunday"</x:f>
        <x:v>Sunday</x:v>
      </x:c>
      <x:c r="C26" s="26" t="n">
        <x:f>SUMIFS('Inputs'!$H$40:$H$116,'Inputs'!$F$40:$F$116,B26)*IF(MONTH(A26)=8,1-'Inputs'!$C$23,1)</x:f>
        <x:v>1463</x:v>
      </x:c>
      <x:c r="D26" s="25" t="n">
        <x:f>D25+C26</x:f>
        <x:v>16105</x:v>
      </x:c>
      <x:c r="E26" s="19" t="n">
        <x:f>ROUND(D26*'Inputs'!$C$30,0)-F25</x:f>
        <x:v>43</x:v>
      </x:c>
      <x:c r="F26" s="16" t="n">
        <x:f>F25+E26</x:f>
        <x:v>477</x:v>
      </x:c>
      <x:c r="G26" s="27" t="n">
        <x:f>E26*'Inputs'!$C$5</x:f>
        <x:v>774</x:v>
      </x:c>
      <x:c r="H26" s="27" t="n">
        <x:f>'Inputs'!$C$11*'Inputs'!$C$12</x:f>
        <x:v>176</x:v>
      </x:c>
      <x:c r="I26" s="27" t="n">
        <x:f>IF(AND(DAY(A26)=1,A26&gt;'Inputs'!$C$24),'Inputs'!$C$13,0)</x:f>
        <x:v>0</x:v>
      </x:c>
      <x:c r="J26" s="27" t="n">
        <x:f>IF(DAY(A26)=1,'Inputs'!$C$14,0)</x:f>
        <x:v>0</x:v>
      </x:c>
      <x:c r="K26" s="27" t="n">
        <x:f>IF(DAY(A26)=1,'Inputs'!$C$15,0)</x:f>
        <x:v>0</x:v>
      </x:c>
      <x:c r="L26" s="27" t="n">
        <x:f>IF(DAY(A26)=1,'Inputs'!$C$16,0)</x:f>
        <x:v>0</x:v>
      </x:c>
      <x:c r="M26" s="27" t="n">
        <x:f>0</x:f>
        <x:v>0</x:v>
      </x:c>
      <x:c r="N26" s="27" t="n">
        <x:f>0</x:f>
        <x:v>0</x:v>
      </x:c>
      <x:c r="O26" s="27" t="n">
        <x:f>0</x:f>
        <x:v>0</x:v>
      </x:c>
      <x:c r="P26" s="27" t="n">
        <x:f>0</x:f>
        <x:v>0</x:v>
      </x:c>
      <x:c r="Q26" s="19" t="n">
        <x:f>0</x:f>
        <x:v>0</x:v>
      </x:c>
      <x:c r="R26" s="27" t="n">
        <x:f>Q26*'Inputs'!$C$7</x:f>
        <x:v>0</x:v>
      </x:c>
      <x:c r="S26" s="27" t="n">
        <x:f>G26*'Inputs'!$C$10</x:f>
        <x:v>23.22</x:v>
      </x:c>
      <x:c r="T26" s="18" t="n">
        <x:f>SUM(H26:P26)+SUM(R26:S26)</x:f>
        <x:v>199.22</x:v>
      </x:c>
      <x:c r="U26" s="18" t="n">
        <x:f>U25+G26</x:f>
        <x:v>8586</x:v>
      </x:c>
      <x:c r="V26" s="18" t="n">
        <x:f>V25+T26</x:f>
        <x:v>9952.580000000004</x:v>
      </x:c>
      <x:c r="W26" s="18" t="n">
        <x:f>U26-V26</x:f>
        <x:v>-1366.5800000000036</x:v>
      </x:c>
      <x:c r="X26" s="16" t="n">
        <x:f>X25+Q26-E26</x:f>
        <x:v>23</x:v>
      </x:c>
      <x:c r="Y26" s="27" t="n">
        <x:f>0</x:f>
        <x:v>0</x:v>
      </x:c>
      <x:c r="Z26" s="27" t="n">
        <x:f>0</x:f>
        <x:v>0</x:v>
      </x:c>
      <x:c r="AA26" s="27" t="n">
        <x:f>AC25</x:f>
        <x:v>15558.640000000001</x:v>
      </x:c>
      <x:c r="AB26" s="18" t="n">
        <x:f>AA26-T26-Y26+Z26</x:f>
        <x:v>15359.420000000002</x:v>
      </x:c>
      <x:c r="AC26" s="18" t="n">
        <x:f>AB26+G26</x:f>
        <x:v>16133.420000000002</x:v>
      </x:c>
      <x:c r="AE26" t="str">
        <x:f>TEXT(A26,"mmm d")</x:f>
        <x:v>Jun 20</x:v>
      </x:c>
      <x:c r="AF26" s="46" t="n">
        <x:f>U26</x:f>
        <x:v>8586</x:v>
      </x:c>
      <x:c r="AG26" s="46" t="n">
        <x:f>V26</x:f>
        <x:v>9952.580000000004</x:v>
      </x:c>
    </x:row>
    <x:row r="27" ht="22" customHeight="1">
      <x:c r="A27" s="23" t="n">
        <x:f>46559</x:f>
        <x:v>46559</x:v>
      </x:c>
      <x:c r="B27" s="24" t="str">
        <x:f>"Monday"</x:f>
        <x:v>Monday</x:v>
      </x:c>
      <x:c r="C27" s="26" t="n">
        <x:f>SUMIFS('Inputs'!$H$40:$H$116,'Inputs'!$F$40:$F$116,B27)*IF(MONTH(A27)=8,1-'Inputs'!$C$23,1)</x:f>
        <x:v>488</x:v>
      </x:c>
      <x:c r="D27" s="25" t="n">
        <x:f>D26+C27</x:f>
        <x:v>16593</x:v>
      </x:c>
      <x:c r="E27" s="19" t="n">
        <x:f>ROUND(D27*'Inputs'!$C$30,0)-F26</x:f>
        <x:v>14</x:v>
      </x:c>
      <x:c r="F27" s="16" t="n">
        <x:f>F26+E27</x:f>
        <x:v>491</x:v>
      </x:c>
      <x:c r="G27" s="27" t="n">
        <x:f>E27*'Inputs'!$C$5</x:f>
        <x:v>252</x:v>
      </x:c>
      <x:c r="H27" s="27" t="n">
        <x:f>'Inputs'!$C$11*'Inputs'!$C$12</x:f>
        <x:v>176</x:v>
      </x:c>
      <x:c r="I27" s="27" t="n">
        <x:f>IF(AND(DAY(A27)=1,A27&gt;'Inputs'!$C$24),'Inputs'!$C$13,0)</x:f>
        <x:v>0</x:v>
      </x:c>
      <x:c r="J27" s="27" t="n">
        <x:f>IF(DAY(A27)=1,'Inputs'!$C$14,0)</x:f>
        <x:v>0</x:v>
      </x:c>
      <x:c r="K27" s="27" t="n">
        <x:f>IF(DAY(A27)=1,'Inputs'!$C$15,0)</x:f>
        <x:v>0</x:v>
      </x:c>
      <x:c r="L27" s="27" t="n">
        <x:f>IF(DAY(A27)=1,'Inputs'!$C$16,0)</x:f>
        <x:v>0</x:v>
      </x:c>
      <x:c r="M27" s="27" t="n">
        <x:f>0</x:f>
        <x:v>0</x:v>
      </x:c>
      <x:c r="N27" s="27" t="n">
        <x:f>0</x:f>
        <x:v>0</x:v>
      </x:c>
      <x:c r="O27" s="27" t="n">
        <x:f>0</x:f>
        <x:v>0</x:v>
      </x:c>
      <x:c r="P27" s="27" t="n">
        <x:f>0</x:f>
        <x:v>0</x:v>
      </x:c>
      <x:c r="Q27" s="19" t="n">
        <x:f>0</x:f>
        <x:v>0</x:v>
      </x:c>
      <x:c r="R27" s="27" t="n">
        <x:f>Q27*'Inputs'!$C$7</x:f>
        <x:v>0</x:v>
      </x:c>
      <x:c r="S27" s="27" t="n">
        <x:f>G27*'Inputs'!$C$10</x:f>
        <x:v>7.56</x:v>
      </x:c>
      <x:c r="T27" s="18" t="n">
        <x:f>SUM(H27:P27)+SUM(R27:S27)</x:f>
        <x:v>183.56</x:v>
      </x:c>
      <x:c r="U27" s="18" t="n">
        <x:f>U26+G27</x:f>
        <x:v>8838</x:v>
      </x:c>
      <x:c r="V27" s="18" t="n">
        <x:f>V26+T27</x:f>
        <x:v>10136.140000000003</x:v>
      </x:c>
      <x:c r="W27" s="18" t="n">
        <x:f>U27-V27</x:f>
        <x:v>-1298.140000000003</x:v>
      </x:c>
      <x:c r="X27" s="16" t="n">
        <x:f>X26+Q27-E27</x:f>
        <x:v>9</x:v>
      </x:c>
      <x:c r="Y27" s="27" t="n">
        <x:f>0</x:f>
        <x:v>0</x:v>
      </x:c>
      <x:c r="Z27" s="27" t="n">
        <x:f>0</x:f>
        <x:v>0</x:v>
      </x:c>
      <x:c r="AA27" s="27" t="n">
        <x:f>AC26</x:f>
        <x:v>16133.420000000002</x:v>
      </x:c>
      <x:c r="AB27" s="18" t="n">
        <x:f>AA27-T27-Y27+Z27</x:f>
        <x:v>15949.860000000002</x:v>
      </x:c>
      <x:c r="AC27" s="18" t="n">
        <x:f>AB27+G27</x:f>
        <x:v>16201.860000000002</x:v>
      </x:c>
      <x:c r="AE27" t="str">
        <x:f>TEXT(A27,"mmm d")</x:f>
        <x:v>Jun 21</x:v>
      </x:c>
      <x:c r="AF27" s="46" t="n">
        <x:f>U27</x:f>
        <x:v>8838</x:v>
      </x:c>
      <x:c r="AG27" s="46" t="n">
        <x:f>V27</x:f>
        <x:v>10136.140000000003</x:v>
      </x:c>
    </x:row>
    <x:row r="28" ht="22" customHeight="1">
      <x:c r="A28" s="23" t="n">
        <x:f>46560</x:f>
        <x:v>46560</x:v>
      </x:c>
      <x:c r="B28" s="24" t="str">
        <x:f>"Tuesday"</x:f>
        <x:v>Tuesday</x:v>
      </x:c>
      <x:c r="C28" s="26" t="n">
        <x:f>SUMIFS('Inputs'!$H$40:$H$116,'Inputs'!$F$40:$F$116,B28)*IF(MONTH(A28)=8,1-'Inputs'!$C$23,1)</x:f>
        <x:v>510</x:v>
      </x:c>
      <x:c r="D28" s="25" t="n">
        <x:f>D27+C28</x:f>
        <x:v>17103</x:v>
      </x:c>
      <x:c r="E28" s="19" t="n">
        <x:f>ROUND(D28*'Inputs'!$C$30,0)-F27</x:f>
        <x:v>15</x:v>
      </x:c>
      <x:c r="F28" s="16" t="n">
        <x:f>F27+E28</x:f>
        <x:v>506</x:v>
      </x:c>
      <x:c r="G28" s="27" t="n">
        <x:f>E28*'Inputs'!$C$5</x:f>
        <x:v>270</x:v>
      </x:c>
      <x:c r="H28" s="27" t="n">
        <x:f>'Inputs'!$C$11*'Inputs'!$C$12</x:f>
        <x:v>176</x:v>
      </x:c>
      <x:c r="I28" s="27" t="n">
        <x:f>IF(AND(DAY(A28)=1,A28&gt;'Inputs'!$C$24),'Inputs'!$C$13,0)</x:f>
        <x:v>0</x:v>
      </x:c>
      <x:c r="J28" s="27" t="n">
        <x:f>IF(DAY(A28)=1,'Inputs'!$C$14,0)</x:f>
        <x:v>0</x:v>
      </x:c>
      <x:c r="K28" s="27" t="n">
        <x:f>IF(DAY(A28)=1,'Inputs'!$C$15,0)</x:f>
        <x:v>0</x:v>
      </x:c>
      <x:c r="L28" s="27" t="n">
        <x:f>IF(DAY(A28)=1,'Inputs'!$C$16,0)</x:f>
        <x:v>0</x:v>
      </x:c>
      <x:c r="M28" s="27" t="n">
        <x:f>0</x:f>
        <x:v>0</x:v>
      </x:c>
      <x:c r="N28" s="27" t="n">
        <x:f>0</x:f>
        <x:v>0</x:v>
      </x:c>
      <x:c r="O28" s="27" t="n">
        <x:f>0</x:f>
        <x:v>0</x:v>
      </x:c>
      <x:c r="P28" s="27" t="n">
        <x:f>0</x:f>
        <x:v>0</x:v>
      </x:c>
      <x:c r="Q28" s="19" t="n">
        <x:f>ROUNDUP(MAX(0,SUM(E28:E34)-X27)/'Inputs'!$C$8,0)*'Inputs'!$C$8</x:f>
        <x:v>200</x:v>
      </x:c>
      <x:c r="R28" s="27" t="n">
        <x:f>Q28*'Inputs'!$C$7</x:f>
        <x:v>800</x:v>
      </x:c>
      <x:c r="S28" s="27" t="n">
        <x:f>G28*'Inputs'!$C$10</x:f>
        <x:v>8.1</x:v>
      </x:c>
      <x:c r="T28" s="18" t="n">
        <x:f>SUM(H28:P28)+SUM(R28:S28)</x:f>
        <x:v>984.1</x:v>
      </x:c>
      <x:c r="U28" s="18" t="n">
        <x:f>U27+G28</x:f>
        <x:v>9108</x:v>
      </x:c>
      <x:c r="V28" s="18" t="n">
        <x:f>V27+T28</x:f>
        <x:v>11120.240000000003</x:v>
      </x:c>
      <x:c r="W28" s="18" t="n">
        <x:f>U28-V28</x:f>
        <x:v>-2012.2400000000034</x:v>
      </x:c>
      <x:c r="X28" s="16" t="n">
        <x:f>X27+Q28-E28</x:f>
        <x:v>194</x:v>
      </x:c>
      <x:c r="Y28" s="27" t="n">
        <x:f>0</x:f>
        <x:v>0</x:v>
      </x:c>
      <x:c r="Z28" s="27" t="n">
        <x:f>0</x:f>
        <x:v>0</x:v>
      </x:c>
      <x:c r="AA28" s="27" t="n">
        <x:f>AC27</x:f>
        <x:v>16201.860000000002</x:v>
      </x:c>
      <x:c r="AB28" s="18" t="n">
        <x:f>AA28-T28-Y28+Z28</x:f>
        <x:v>15217.760000000002</x:v>
      </x:c>
      <x:c r="AC28" s="18" t="n">
        <x:f>AB28+G28</x:f>
        <x:v>15487.760000000002</x:v>
      </x:c>
      <x:c r="AE28" t="str">
        <x:f>TEXT(A28,"mmm d")</x:f>
        <x:v>Jun 22</x:v>
      </x:c>
      <x:c r="AF28" s="46" t="n">
        <x:f>U28</x:f>
        <x:v>9108</x:v>
      </x:c>
      <x:c r="AG28" s="46" t="n">
        <x:f>V28</x:f>
        <x:v>11120.240000000003</x:v>
      </x:c>
    </x:row>
    <x:row r="29" ht="22" customHeight="1">
      <x:c r="A29" s="23" t="n">
        <x:f>46561</x:f>
        <x:v>46561</x:v>
      </x:c>
      <x:c r="B29" s="24" t="str">
        <x:f>"Wednesday"</x:f>
        <x:v>Wednesday</x:v>
      </x:c>
      <x:c r="C29" s="26" t="n">
        <x:f>SUMIFS('Inputs'!$H$40:$H$116,'Inputs'!$F$40:$F$116,B29)*IF(MONTH(A29)=8,1-'Inputs'!$C$23,1)</x:f>
        <x:v>488</x:v>
      </x:c>
      <x:c r="D29" s="25" t="n">
        <x:f>D28+C29</x:f>
        <x:v>17591</x:v>
      </x:c>
      <x:c r="E29" s="19" t="n">
        <x:f>ROUND(D29*'Inputs'!$C$30,0)-F28</x:f>
        <x:v>15</x:v>
      </x:c>
      <x:c r="F29" s="16" t="n">
        <x:f>F28+E29</x:f>
        <x:v>521</x:v>
      </x:c>
      <x:c r="G29" s="27" t="n">
        <x:f>E29*'Inputs'!$C$5</x:f>
        <x:v>270</x:v>
      </x:c>
      <x:c r="H29" s="27" t="n">
        <x:f>'Inputs'!$C$11*'Inputs'!$C$12</x:f>
        <x:v>176</x:v>
      </x:c>
      <x:c r="I29" s="27" t="n">
        <x:f>IF(AND(DAY(A29)=1,A29&gt;'Inputs'!$C$24),'Inputs'!$C$13,0)</x:f>
        <x:v>0</x:v>
      </x:c>
      <x:c r="J29" s="27" t="n">
        <x:f>IF(DAY(A29)=1,'Inputs'!$C$14,0)</x:f>
        <x:v>0</x:v>
      </x:c>
      <x:c r="K29" s="27" t="n">
        <x:f>IF(DAY(A29)=1,'Inputs'!$C$15,0)</x:f>
        <x:v>0</x:v>
      </x:c>
      <x:c r="L29" s="27" t="n">
        <x:f>IF(DAY(A29)=1,'Inputs'!$C$16,0)</x:f>
        <x:v>0</x:v>
      </x:c>
      <x:c r="M29" s="27" t="n">
        <x:f>0</x:f>
        <x:v>0</x:v>
      </x:c>
      <x:c r="N29" s="27" t="n">
        <x:f>0</x:f>
        <x:v>0</x:v>
      </x:c>
      <x:c r="O29" s="27" t="n">
        <x:f>0</x:f>
        <x:v>0</x:v>
      </x:c>
      <x:c r="P29" s="27" t="n">
        <x:f>0</x:f>
        <x:v>0</x:v>
      </x:c>
      <x:c r="Q29" s="19" t="n">
        <x:f>0</x:f>
        <x:v>0</x:v>
      </x:c>
      <x:c r="R29" s="27" t="n">
        <x:f>Q29*'Inputs'!$C$7</x:f>
        <x:v>0</x:v>
      </x:c>
      <x:c r="S29" s="27" t="n">
        <x:f>G29*'Inputs'!$C$10</x:f>
        <x:v>8.1</x:v>
      </x:c>
      <x:c r="T29" s="18" t="n">
        <x:f>SUM(H29:P29)+SUM(R29:S29)</x:f>
        <x:v>184.1</x:v>
      </x:c>
      <x:c r="U29" s="18" t="n">
        <x:f>U28+G29</x:f>
        <x:v>9378</x:v>
      </x:c>
      <x:c r="V29" s="18" t="n">
        <x:f>V28+T29</x:f>
        <x:v>11304.340000000004</x:v>
      </x:c>
      <x:c r="W29" s="18" t="n">
        <x:f>U29-V29</x:f>
        <x:v>-1926.3400000000038</x:v>
      </x:c>
      <x:c r="X29" s="16" t="n">
        <x:f>X28+Q29-E29</x:f>
        <x:v>179</x:v>
      </x:c>
      <x:c r="Y29" s="27" t="n">
        <x:f>0</x:f>
        <x:v>0</x:v>
      </x:c>
      <x:c r="Z29" s="27" t="n">
        <x:f>0</x:f>
        <x:v>0</x:v>
      </x:c>
      <x:c r="AA29" s="27" t="n">
        <x:f>AC28</x:f>
        <x:v>15487.760000000002</x:v>
      </x:c>
      <x:c r="AB29" s="18" t="n">
        <x:f>AA29-T29-Y29+Z29</x:f>
        <x:v>15303.660000000002</x:v>
      </x:c>
      <x:c r="AC29" s="18" t="n">
        <x:f>AB29+G29</x:f>
        <x:v>15573.660000000002</x:v>
      </x:c>
      <x:c r="AE29" t="str">
        <x:f>TEXT(A29,"mmm d")</x:f>
        <x:v>Jun 23</x:v>
      </x:c>
      <x:c r="AF29" s="46" t="n">
        <x:f>U29</x:f>
        <x:v>9378</x:v>
      </x:c>
      <x:c r="AG29" s="46" t="n">
        <x:f>V29</x:f>
        <x:v>11304.340000000004</x:v>
      </x:c>
    </x:row>
    <x:row r="30" ht="22" customHeight="1">
      <x:c r="A30" s="23" t="n">
        <x:f>46562</x:f>
        <x:v>46562</x:v>
      </x:c>
      <x:c r="B30" s="24" t="str">
        <x:f>"Thursday"</x:f>
        <x:v>Thursday</x:v>
      </x:c>
      <x:c r="C30" s="26" t="n">
        <x:f>SUMIFS('Inputs'!$H$40:$H$116,'Inputs'!$F$40:$F$116,B30)*IF(MONTH(A30)=8,1-'Inputs'!$C$23,1)</x:f>
        <x:v>488</x:v>
      </x:c>
      <x:c r="D30" s="25" t="n">
        <x:f>D29+C30</x:f>
        <x:v>18079</x:v>
      </x:c>
      <x:c r="E30" s="19" t="n">
        <x:f>ROUND(D30*'Inputs'!$C$30,0)-F29</x:f>
        <x:v>14</x:v>
      </x:c>
      <x:c r="F30" s="16" t="n">
        <x:f>F29+E30</x:f>
        <x:v>535</x:v>
      </x:c>
      <x:c r="G30" s="27" t="n">
        <x:f>E30*'Inputs'!$C$5</x:f>
        <x:v>252</x:v>
      </x:c>
      <x:c r="H30" s="27" t="n">
        <x:f>'Inputs'!$C$11*'Inputs'!$C$12</x:f>
        <x:v>176</x:v>
      </x:c>
      <x:c r="I30" s="27" t="n">
        <x:f>IF(AND(DAY(A30)=1,A30&gt;'Inputs'!$C$24),'Inputs'!$C$13,0)</x:f>
        <x:v>0</x:v>
      </x:c>
      <x:c r="J30" s="27" t="n">
        <x:f>IF(DAY(A30)=1,'Inputs'!$C$14,0)</x:f>
        <x:v>0</x:v>
      </x:c>
      <x:c r="K30" s="27" t="n">
        <x:f>IF(DAY(A30)=1,'Inputs'!$C$15,0)</x:f>
        <x:v>0</x:v>
      </x:c>
      <x:c r="L30" s="27" t="n">
        <x:f>IF(DAY(A30)=1,'Inputs'!$C$16,0)</x:f>
        <x:v>0</x:v>
      </x:c>
      <x:c r="M30" s="27" t="n">
        <x:f>0</x:f>
        <x:v>0</x:v>
      </x:c>
      <x:c r="N30" s="27" t="n">
        <x:f>0</x:f>
        <x:v>0</x:v>
      </x:c>
      <x:c r="O30" s="27" t="n">
        <x:f>0</x:f>
        <x:v>0</x:v>
      </x:c>
      <x:c r="P30" s="27" t="n">
        <x:f>0</x:f>
        <x:v>0</x:v>
      </x:c>
      <x:c r="Q30" s="19" t="n">
        <x:f>0</x:f>
        <x:v>0</x:v>
      </x:c>
      <x:c r="R30" s="27" t="n">
        <x:f>Q30*'Inputs'!$C$7</x:f>
        <x:v>0</x:v>
      </x:c>
      <x:c r="S30" s="27" t="n">
        <x:f>G30*'Inputs'!$C$10</x:f>
        <x:v>7.56</x:v>
      </x:c>
      <x:c r="T30" s="18" t="n">
        <x:f>SUM(H30:P30)+SUM(R30:S30)</x:f>
        <x:v>183.56</x:v>
      </x:c>
      <x:c r="U30" s="18" t="n">
        <x:f>U29+G30</x:f>
        <x:v>9630</x:v>
      </x:c>
      <x:c r="V30" s="18" t="n">
        <x:f>V29+T30</x:f>
        <x:v>11487.900000000003</x:v>
      </x:c>
      <x:c r="W30" s="18" t="n">
        <x:f>U30-V30</x:f>
        <x:v>-1857.9000000000033</x:v>
      </x:c>
      <x:c r="X30" s="16" t="n">
        <x:f>X29+Q30-E30</x:f>
        <x:v>165</x:v>
      </x:c>
      <x:c r="Y30" s="27" t="n">
        <x:f>0</x:f>
        <x:v>0</x:v>
      </x:c>
      <x:c r="Z30" s="27" t="n">
        <x:f>0</x:f>
        <x:v>0</x:v>
      </x:c>
      <x:c r="AA30" s="27" t="n">
        <x:f>AC29</x:f>
        <x:v>15573.660000000002</x:v>
      </x:c>
      <x:c r="AB30" s="18" t="n">
        <x:f>AA30-T30-Y30+Z30</x:f>
        <x:v>15390.100000000002</x:v>
      </x:c>
      <x:c r="AC30" s="18" t="n">
        <x:f>AB30+G30</x:f>
        <x:v>15642.100000000002</x:v>
      </x:c>
      <x:c r="AE30" t="str">
        <x:f>TEXT(A30,"mmm d")</x:f>
        <x:v>Jun 24</x:v>
      </x:c>
      <x:c r="AF30" s="46" t="n">
        <x:f>U30</x:f>
        <x:v>9630</x:v>
      </x:c>
      <x:c r="AG30" s="46" t="n">
        <x:f>V30</x:f>
        <x:v>11487.900000000003</x:v>
      </x:c>
    </x:row>
    <x:row r="31" ht="22" customHeight="1">
      <x:c r="A31" s="23" t="n">
        <x:f>46563</x:f>
        <x:v>46563</x:v>
      </x:c>
      <x:c r="B31" s="24" t="str">
        <x:f>"Friday"</x:f>
        <x:v>Friday</x:v>
      </x:c>
      <x:c r="C31" s="26" t="n">
        <x:f>SUMIFS('Inputs'!$H$40:$H$116,'Inputs'!$F$40:$F$116,B31)*IF(MONTH(A31)=8,1-'Inputs'!$C$23,1)</x:f>
        <x:v>565</x:v>
      </x:c>
      <x:c r="D31" s="25" t="n">
        <x:f>D30+C31</x:f>
        <x:v>18644</x:v>
      </x:c>
      <x:c r="E31" s="19" t="n">
        <x:f>ROUND(D31*'Inputs'!$C$30,0)-F30</x:f>
        <x:v>17</x:v>
      </x:c>
      <x:c r="F31" s="16" t="n">
        <x:f>F30+E31</x:f>
        <x:v>552</x:v>
      </x:c>
      <x:c r="G31" s="27" t="n">
        <x:f>E31*'Inputs'!$C$5</x:f>
        <x:v>306</x:v>
      </x:c>
      <x:c r="H31" s="27" t="n">
        <x:f>'Inputs'!$C$11*'Inputs'!$C$12</x:f>
        <x:v>176</x:v>
      </x:c>
      <x:c r="I31" s="27" t="n">
        <x:f>IF(AND(DAY(A31)=1,A31&gt;'Inputs'!$C$24),'Inputs'!$C$13,0)</x:f>
        <x:v>0</x:v>
      </x:c>
      <x:c r="J31" s="27" t="n">
        <x:f>IF(DAY(A31)=1,'Inputs'!$C$14,0)</x:f>
        <x:v>0</x:v>
      </x:c>
      <x:c r="K31" s="27" t="n">
        <x:f>IF(DAY(A31)=1,'Inputs'!$C$15,0)</x:f>
        <x:v>0</x:v>
      </x:c>
      <x:c r="L31" s="27" t="n">
        <x:f>IF(DAY(A31)=1,'Inputs'!$C$16,0)</x:f>
        <x:v>0</x:v>
      </x:c>
      <x:c r="M31" s="27" t="n">
        <x:f>0</x:f>
        <x:v>0</x:v>
      </x:c>
      <x:c r="N31" s="27" t="n">
        <x:f>0</x:f>
        <x:v>0</x:v>
      </x:c>
      <x:c r="O31" s="27" t="n">
        <x:f>0</x:f>
        <x:v>0</x:v>
      </x:c>
      <x:c r="P31" s="27" t="n">
        <x:f>0</x:f>
        <x:v>0</x:v>
      </x:c>
      <x:c r="Q31" s="19" t="n">
        <x:f>0</x:f>
        <x:v>0</x:v>
      </x:c>
      <x:c r="R31" s="27" t="n">
        <x:f>Q31*'Inputs'!$C$7</x:f>
        <x:v>0</x:v>
      </x:c>
      <x:c r="S31" s="27" t="n">
        <x:f>G31*'Inputs'!$C$10</x:f>
        <x:v>9.18</x:v>
      </x:c>
      <x:c r="T31" s="18" t="n">
        <x:f>SUM(H31:P31)+SUM(R31:S31)</x:f>
        <x:v>185.18</x:v>
      </x:c>
      <x:c r="U31" s="18" t="n">
        <x:f>U30+G31</x:f>
        <x:v>9936</x:v>
      </x:c>
      <x:c r="V31" s="18" t="n">
        <x:f>V30+T31</x:f>
        <x:v>11673.080000000004</x:v>
      </x:c>
      <x:c r="W31" s="18" t="n">
        <x:f>U31-V31</x:f>
        <x:v>-1737.0800000000036</x:v>
      </x:c>
      <x:c r="X31" s="16" t="n">
        <x:f>X30+Q31-E31</x:f>
        <x:v>148</x:v>
      </x:c>
      <x:c r="Y31" s="27" t="n">
        <x:f>0</x:f>
        <x:v>0</x:v>
      </x:c>
      <x:c r="Z31" s="27" t="n">
        <x:f>0</x:f>
        <x:v>0</x:v>
      </x:c>
      <x:c r="AA31" s="27" t="n">
        <x:f>AC30</x:f>
        <x:v>15642.100000000002</x:v>
      </x:c>
      <x:c r="AB31" s="18" t="n">
        <x:f>AA31-T31-Y31+Z31</x:f>
        <x:v>15456.920000000002</x:v>
      </x:c>
      <x:c r="AC31" s="18" t="n">
        <x:f>AB31+G31</x:f>
        <x:v>15762.920000000002</x:v>
      </x:c>
      <x:c r="AE31" t="str">
        <x:f>TEXT(A31,"mmm d")</x:f>
        <x:v>Jun 25</x:v>
      </x:c>
      <x:c r="AF31" s="46" t="n">
        <x:f>U31</x:f>
        <x:v>9936</x:v>
      </x:c>
      <x:c r="AG31" s="46" t="n">
        <x:f>V31</x:f>
        <x:v>11673.080000000004</x:v>
      </x:c>
    </x:row>
    <x:row r="32" ht="22" customHeight="1">
      <x:c r="A32" s="23" t="n">
        <x:f>46564</x:f>
        <x:v>46564</x:v>
      </x:c>
      <x:c r="B32" s="24" t="str">
        <x:f>"Saturday"</x:f>
        <x:v>Saturday</x:v>
      </x:c>
      <x:c r="C32" s="26" t="n">
        <x:f>SUMIFS('Inputs'!$H$40:$H$116,'Inputs'!$F$40:$F$116,B32)*IF(MONTH(A32)=8,1-'Inputs'!$C$23,1)</x:f>
        <x:v>1529</x:v>
      </x:c>
      <x:c r="D32" s="25" t="n">
        <x:f>D31+C32</x:f>
        <x:v>20173</x:v>
      </x:c>
      <x:c r="E32" s="19" t="n">
        <x:f>ROUND(D32*'Inputs'!$C$30,0)-F31</x:f>
        <x:v>45</x:v>
      </x:c>
      <x:c r="F32" s="16" t="n">
        <x:f>F31+E32</x:f>
        <x:v>597</x:v>
      </x:c>
      <x:c r="G32" s="27" t="n">
        <x:f>E32*'Inputs'!$C$5</x:f>
        <x:v>810</x:v>
      </x:c>
      <x:c r="H32" s="27" t="n">
        <x:f>'Inputs'!$C$11*'Inputs'!$C$12</x:f>
        <x:v>176</x:v>
      </x:c>
      <x:c r="I32" s="27" t="n">
        <x:f>IF(AND(DAY(A32)=1,A32&gt;'Inputs'!$C$24),'Inputs'!$C$13,0)</x:f>
        <x:v>0</x:v>
      </x:c>
      <x:c r="J32" s="27" t="n">
        <x:f>IF(DAY(A32)=1,'Inputs'!$C$14,0)</x:f>
        <x:v>0</x:v>
      </x:c>
      <x:c r="K32" s="27" t="n">
        <x:f>IF(DAY(A32)=1,'Inputs'!$C$15,0)</x:f>
        <x:v>0</x:v>
      </x:c>
      <x:c r="L32" s="27" t="n">
        <x:f>IF(DAY(A32)=1,'Inputs'!$C$16,0)</x:f>
        <x:v>0</x:v>
      </x:c>
      <x:c r="M32" s="27" t="n">
        <x:f>0</x:f>
        <x:v>0</x:v>
      </x:c>
      <x:c r="N32" s="27" t="n">
        <x:f>0</x:f>
        <x:v>0</x:v>
      </x:c>
      <x:c r="O32" s="27" t="n">
        <x:f>0</x:f>
        <x:v>0</x:v>
      </x:c>
      <x:c r="P32" s="27" t="n">
        <x:f>0</x:f>
        <x:v>0</x:v>
      </x:c>
      <x:c r="Q32" s="19" t="n">
        <x:f>0</x:f>
        <x:v>0</x:v>
      </x:c>
      <x:c r="R32" s="27" t="n">
        <x:f>Q32*'Inputs'!$C$7</x:f>
        <x:v>0</x:v>
      </x:c>
      <x:c r="S32" s="27" t="n">
        <x:f>G32*'Inputs'!$C$10</x:f>
        <x:v>24.3</x:v>
      </x:c>
      <x:c r="T32" s="18" t="n">
        <x:f>SUM(H32:P32)+SUM(R32:S32)</x:f>
        <x:v>200.3</x:v>
      </x:c>
      <x:c r="U32" s="18" t="n">
        <x:f>U31+G32</x:f>
        <x:v>10746</x:v>
      </x:c>
      <x:c r="V32" s="18" t="n">
        <x:f>V31+T32</x:f>
        <x:v>11873.380000000003</x:v>
      </x:c>
      <x:c r="W32" s="18" t="n">
        <x:f>U32-V32</x:f>
        <x:v>-1127.3800000000028</x:v>
      </x:c>
      <x:c r="X32" s="16" t="n">
        <x:f>X31+Q32-E32</x:f>
        <x:v>103</x:v>
      </x:c>
      <x:c r="Y32" s="27" t="n">
        <x:f>0</x:f>
        <x:v>0</x:v>
      </x:c>
      <x:c r="Z32" s="27" t="n">
        <x:f>0</x:f>
        <x:v>0</x:v>
      </x:c>
      <x:c r="AA32" s="27" t="n">
        <x:f>AC31</x:f>
        <x:v>15762.920000000002</x:v>
      </x:c>
      <x:c r="AB32" s="18" t="n">
        <x:f>AA32-T32-Y32+Z32</x:f>
        <x:v>15562.620000000003</x:v>
      </x:c>
      <x:c r="AC32" s="18" t="n">
        <x:f>AB32+G32</x:f>
        <x:v>16372.620000000003</x:v>
      </x:c>
      <x:c r="AE32" t="str">
        <x:f>TEXT(A32,"mmm d")</x:f>
        <x:v>Jun 26</x:v>
      </x:c>
      <x:c r="AF32" s="46" t="n">
        <x:f>U32</x:f>
        <x:v>10746</x:v>
      </x:c>
      <x:c r="AG32" s="46" t="n">
        <x:f>V32</x:f>
        <x:v>11873.380000000003</x:v>
      </x:c>
    </x:row>
    <x:row r="33" ht="22" customHeight="1">
      <x:c r="A33" s="23" t="n">
        <x:f>46565</x:f>
        <x:v>46565</x:v>
      </x:c>
      <x:c r="B33" s="24" t="str">
        <x:f>"Sunday"</x:f>
        <x:v>Sunday</x:v>
      </x:c>
      <x:c r="C33" s="26" t="n">
        <x:f>SUMIFS('Inputs'!$H$40:$H$116,'Inputs'!$F$40:$F$116,B33)*IF(MONTH(A33)=8,1-'Inputs'!$C$23,1)</x:f>
        <x:v>1463</x:v>
      </x:c>
      <x:c r="D33" s="25" t="n">
        <x:f>D32+C33</x:f>
        <x:v>21636</x:v>
      </x:c>
      <x:c r="E33" s="19" t="n">
        <x:f>ROUND(D33*'Inputs'!$C$30,0)-F32</x:f>
        <x:v>44</x:v>
      </x:c>
      <x:c r="F33" s="16" t="n">
        <x:f>F32+E33</x:f>
        <x:v>641</x:v>
      </x:c>
      <x:c r="G33" s="27" t="n">
        <x:f>E33*'Inputs'!$C$5</x:f>
        <x:v>792</x:v>
      </x:c>
      <x:c r="H33" s="27" t="n">
        <x:f>'Inputs'!$C$11*'Inputs'!$C$12</x:f>
        <x:v>176</x:v>
      </x:c>
      <x:c r="I33" s="27" t="n">
        <x:f>IF(AND(DAY(A33)=1,A33&gt;'Inputs'!$C$24),'Inputs'!$C$13,0)</x:f>
        <x:v>0</x:v>
      </x:c>
      <x:c r="J33" s="27" t="n">
        <x:f>IF(DAY(A33)=1,'Inputs'!$C$14,0)</x:f>
        <x:v>0</x:v>
      </x:c>
      <x:c r="K33" s="27" t="n">
        <x:f>IF(DAY(A33)=1,'Inputs'!$C$15,0)</x:f>
        <x:v>0</x:v>
      </x:c>
      <x:c r="L33" s="27" t="n">
        <x:f>IF(DAY(A33)=1,'Inputs'!$C$16,0)</x:f>
        <x:v>0</x:v>
      </x:c>
      <x:c r="M33" s="27" t="n">
        <x:f>0</x:f>
        <x:v>0</x:v>
      </x:c>
      <x:c r="N33" s="27" t="n">
        <x:f>0</x:f>
        <x:v>0</x:v>
      </x:c>
      <x:c r="O33" s="27" t="n">
        <x:f>0</x:f>
        <x:v>0</x:v>
      </x:c>
      <x:c r="P33" s="27" t="n">
        <x:f>0</x:f>
        <x:v>0</x:v>
      </x:c>
      <x:c r="Q33" s="19" t="n">
        <x:f>0</x:f>
        <x:v>0</x:v>
      </x:c>
      <x:c r="R33" s="27" t="n">
        <x:f>Q33*'Inputs'!$C$7</x:f>
        <x:v>0</x:v>
      </x:c>
      <x:c r="S33" s="27" t="n">
        <x:f>G33*'Inputs'!$C$10</x:f>
        <x:v>23.759999999999998</x:v>
      </x:c>
      <x:c r="T33" s="18" t="n">
        <x:f>SUM(H33:P33)+SUM(R33:S33)</x:f>
        <x:v>199.76</x:v>
      </x:c>
      <x:c r="U33" s="18" t="n">
        <x:f>U32+G33</x:f>
        <x:v>11538</x:v>
      </x:c>
      <x:c r="V33" s="18" t="n">
        <x:f>V32+T33</x:f>
        <x:v>12073.140000000003</x:v>
      </x:c>
      <x:c r="W33" s="18" t="n">
        <x:f>U33-V33</x:f>
        <x:v>-535.140000000003</x:v>
      </x:c>
      <x:c r="X33" s="16" t="n">
        <x:f>X32+Q33-E33</x:f>
        <x:v>59</x:v>
      </x:c>
      <x:c r="Y33" s="27" t="n">
        <x:f>0</x:f>
        <x:v>0</x:v>
      </x:c>
      <x:c r="Z33" s="27" t="n">
        <x:f>0</x:f>
        <x:v>0</x:v>
      </x:c>
      <x:c r="AA33" s="27" t="n">
        <x:f>AC32</x:f>
        <x:v>16372.620000000003</x:v>
      </x:c>
      <x:c r="AB33" s="18" t="n">
        <x:f>AA33-T33-Y33+Z33</x:f>
        <x:v>16172.860000000002</x:v>
      </x:c>
      <x:c r="AC33" s="18" t="n">
        <x:f>AB33+G33</x:f>
        <x:v>16964.86</x:v>
      </x:c>
      <x:c r="AE33" t="str">
        <x:f>TEXT(A33,"mmm d")</x:f>
        <x:v>Jun 27</x:v>
      </x:c>
      <x:c r="AF33" s="46" t="n">
        <x:f>U33</x:f>
        <x:v>11538</x:v>
      </x:c>
      <x:c r="AG33" s="46" t="n">
        <x:f>V33</x:f>
        <x:v>12073.140000000003</x:v>
      </x:c>
    </x:row>
    <x:row r="34" ht="22" customHeight="1">
      <x:c r="A34" s="23" t="n">
        <x:f>46566</x:f>
        <x:v>46566</x:v>
      </x:c>
      <x:c r="B34" s="24" t="str">
        <x:f>"Monday"</x:f>
        <x:v>Monday</x:v>
      </x:c>
      <x:c r="C34" s="26" t="n">
        <x:f>SUMIFS('Inputs'!$H$40:$H$116,'Inputs'!$F$40:$F$116,B34)*IF(MONTH(A34)=8,1-'Inputs'!$C$23,1)</x:f>
        <x:v>488</x:v>
      </x:c>
      <x:c r="D34" s="25" t="n">
        <x:f>D33+C34</x:f>
        <x:v>22124</x:v>
      </x:c>
      <x:c r="E34" s="19" t="n">
        <x:f>ROUND(D34*'Inputs'!$C$30,0)-F33</x:f>
        <x:v>14</x:v>
      </x:c>
      <x:c r="F34" s="16" t="n">
        <x:f>F33+E34</x:f>
        <x:v>655</x:v>
      </x:c>
      <x:c r="G34" s="27" t="n">
        <x:f>E34*'Inputs'!$C$5</x:f>
        <x:v>252</x:v>
      </x:c>
      <x:c r="H34" s="27" t="n">
        <x:f>'Inputs'!$C$11*'Inputs'!$C$12</x:f>
        <x:v>176</x:v>
      </x:c>
      <x:c r="I34" s="27" t="n">
        <x:f>IF(AND(DAY(A34)=1,A34&gt;'Inputs'!$C$24),'Inputs'!$C$13,0)</x:f>
        <x:v>0</x:v>
      </x:c>
      <x:c r="J34" s="27" t="n">
        <x:f>IF(DAY(A34)=1,'Inputs'!$C$14,0)</x:f>
        <x:v>0</x:v>
      </x:c>
      <x:c r="K34" s="27" t="n">
        <x:f>IF(DAY(A34)=1,'Inputs'!$C$15,0)</x:f>
        <x:v>0</x:v>
      </x:c>
      <x:c r="L34" s="27" t="n">
        <x:f>IF(DAY(A34)=1,'Inputs'!$C$16,0)</x:f>
        <x:v>0</x:v>
      </x:c>
      <x:c r="M34" s="27" t="n">
        <x:f>0</x:f>
        <x:v>0</x:v>
      </x:c>
      <x:c r="N34" s="27" t="n">
        <x:f>0</x:f>
        <x:v>0</x:v>
      </x:c>
      <x:c r="O34" s="27" t="n">
        <x:f>0</x:f>
        <x:v>0</x:v>
      </x:c>
      <x:c r="P34" s="27" t="n">
        <x:f>0</x:f>
        <x:v>0</x:v>
      </x:c>
      <x:c r="Q34" s="19" t="n">
        <x:f>0</x:f>
        <x:v>0</x:v>
      </x:c>
      <x:c r="R34" s="27" t="n">
        <x:f>Q34*'Inputs'!$C$7</x:f>
        <x:v>0</x:v>
      </x:c>
      <x:c r="S34" s="27" t="n">
        <x:f>G34*'Inputs'!$C$10</x:f>
        <x:v>7.56</x:v>
      </x:c>
      <x:c r="T34" s="18" t="n">
        <x:f>SUM(H34:P34)+SUM(R34:S34)</x:f>
        <x:v>183.56</x:v>
      </x:c>
      <x:c r="U34" s="18" t="n">
        <x:f>U33+G34</x:f>
        <x:v>11790</x:v>
      </x:c>
      <x:c r="V34" s="18" t="n">
        <x:f>V33+T34</x:f>
        <x:v>12256.700000000003</x:v>
      </x:c>
      <x:c r="W34" s="18" t="n">
        <x:f>U34-V34</x:f>
        <x:v>-466.70000000000255</x:v>
      </x:c>
      <x:c r="X34" s="16" t="n">
        <x:f>X33+Q34-E34</x:f>
        <x:v>45</x:v>
      </x:c>
      <x:c r="Y34" s="27" t="n">
        <x:f>0</x:f>
        <x:v>0</x:v>
      </x:c>
      <x:c r="Z34" s="27" t="n">
        <x:f>0</x:f>
        <x:v>0</x:v>
      </x:c>
      <x:c r="AA34" s="27" t="n">
        <x:f>AC33</x:f>
        <x:v>16964.86</x:v>
      </x:c>
      <x:c r="AB34" s="18" t="n">
        <x:f>AA34-T34-Y34+Z34</x:f>
        <x:v>16781.3</x:v>
      </x:c>
      <x:c r="AC34" s="18" t="n">
        <x:f>AB34+G34</x:f>
        <x:v>17033.3</x:v>
      </x:c>
      <x:c r="AE34" t="str">
        <x:f>TEXT(A34,"mmm d")</x:f>
        <x:v>Jun 28</x:v>
      </x:c>
      <x:c r="AF34" s="46" t="n">
        <x:f>U34</x:f>
        <x:v>11790</x:v>
      </x:c>
      <x:c r="AG34" s="46" t="n">
        <x:f>V34</x:f>
        <x:v>12256.700000000003</x:v>
      </x:c>
    </x:row>
    <x:row r="35" ht="22" customHeight="1">
      <x:c r="A35" s="23" t="n">
        <x:f>46567</x:f>
        <x:v>46567</x:v>
      </x:c>
      <x:c r="B35" s="24" t="str">
        <x:f>"Tuesday"</x:f>
        <x:v>Tuesday</x:v>
      </x:c>
      <x:c r="C35" s="26" t="n">
        <x:f>SUMIFS('Inputs'!$H$40:$H$116,'Inputs'!$F$40:$F$116,B35)*IF(MONTH(A35)=8,1-'Inputs'!$C$23,1)</x:f>
        <x:v>510</x:v>
      </x:c>
      <x:c r="D35" s="25" t="n">
        <x:f>D34+C35</x:f>
        <x:v>22634</x:v>
      </x:c>
      <x:c r="E35" s="19" t="n">
        <x:f>ROUND(D35*'Inputs'!$C$30,0)-F34</x:f>
        <x:v>15</x:v>
      </x:c>
      <x:c r="F35" s="16" t="n">
        <x:f>F34+E35</x:f>
        <x:v>670</x:v>
      </x:c>
      <x:c r="G35" s="27" t="n">
        <x:f>E35*'Inputs'!$C$5</x:f>
        <x:v>270</x:v>
      </x:c>
      <x:c r="H35" s="27" t="n">
        <x:f>'Inputs'!$C$11*'Inputs'!$C$12</x:f>
        <x:v>176</x:v>
      </x:c>
      <x:c r="I35" s="27" t="n">
        <x:f>IF(AND(DAY(A35)=1,A35&gt;'Inputs'!$C$24),'Inputs'!$C$13,0)</x:f>
        <x:v>0</x:v>
      </x:c>
      <x:c r="J35" s="27" t="n">
        <x:f>IF(DAY(A35)=1,'Inputs'!$C$14,0)</x:f>
        <x:v>0</x:v>
      </x:c>
      <x:c r="K35" s="27" t="n">
        <x:f>IF(DAY(A35)=1,'Inputs'!$C$15,0)</x:f>
        <x:v>0</x:v>
      </x:c>
      <x:c r="L35" s="27" t="n">
        <x:f>IF(DAY(A35)=1,'Inputs'!$C$16,0)</x:f>
        <x:v>0</x:v>
      </x:c>
      <x:c r="M35" s="27" t="n">
        <x:f>0</x:f>
        <x:v>0</x:v>
      </x:c>
      <x:c r="N35" s="27" t="n">
        <x:f>0</x:f>
        <x:v>0</x:v>
      </x:c>
      <x:c r="O35" s="27" t="n">
        <x:f>0</x:f>
        <x:v>0</x:v>
      </x:c>
      <x:c r="P35" s="27" t="n">
        <x:f>0</x:f>
        <x:v>0</x:v>
      </x:c>
      <x:c r="Q35" s="19" t="n">
        <x:f>ROUNDUP(MAX(0,SUM(E35:E41)-X34)/'Inputs'!$C$8,0)*'Inputs'!$C$8</x:f>
        <x:v>150</x:v>
      </x:c>
      <x:c r="R35" s="27" t="n">
        <x:f>Q35*'Inputs'!$C$7</x:f>
        <x:v>600</x:v>
      </x:c>
      <x:c r="S35" s="27" t="n">
        <x:f>G35*'Inputs'!$C$10</x:f>
        <x:v>8.1</x:v>
      </x:c>
      <x:c r="T35" s="18" t="n">
        <x:f>SUM(H35:P35)+SUM(R35:S35)</x:f>
        <x:v>784.1</x:v>
      </x:c>
      <x:c r="U35" s="18" t="n">
        <x:f>U34+G35</x:f>
        <x:v>12060</x:v>
      </x:c>
      <x:c r="V35" s="18" t="n">
        <x:f>V34+T35</x:f>
        <x:v>13040.800000000003</x:v>
      </x:c>
      <x:c r="W35" s="18" t="n">
        <x:f>U35-V35</x:f>
        <x:v>-980.8000000000029</x:v>
      </x:c>
      <x:c r="X35" s="16" t="n">
        <x:f>X34+Q35-E35</x:f>
        <x:v>180</x:v>
      </x:c>
      <x:c r="Y35" s="27" t="n">
        <x:f>0</x:f>
        <x:v>0</x:v>
      </x:c>
      <x:c r="Z35" s="27" t="n">
        <x:f>0</x:f>
        <x:v>0</x:v>
      </x:c>
      <x:c r="AA35" s="27" t="n">
        <x:f>AC34</x:f>
        <x:v>17033.3</x:v>
      </x:c>
      <x:c r="AB35" s="18" t="n">
        <x:f>AA35-T35-Y35+Z35</x:f>
        <x:v>16249.199999999999</x:v>
      </x:c>
      <x:c r="AC35" s="18" t="n">
        <x:f>AB35+G35</x:f>
        <x:v>16519.199999999997</x:v>
      </x:c>
      <x:c r="AE35" t="str">
        <x:f>TEXT(A35,"mmm d")</x:f>
        <x:v>Jun 29</x:v>
      </x:c>
      <x:c r="AF35" s="46" t="n">
        <x:f>U35</x:f>
        <x:v>12060</x:v>
      </x:c>
      <x:c r="AG35" s="46" t="n">
        <x:f>V35</x:f>
        <x:v>13040.800000000003</x:v>
      </x:c>
    </x:row>
    <x:row r="36" ht="22" customHeight="1">
      <x:c r="A36" s="23" t="n">
        <x:f>46568</x:f>
        <x:v>46568</x:v>
      </x:c>
      <x:c r="B36" s="24" t="str">
        <x:f>"Wednesday"</x:f>
        <x:v>Wednesday</x:v>
      </x:c>
      <x:c r="C36" s="26" t="n">
        <x:f>SUMIFS('Inputs'!$H$40:$H$116,'Inputs'!$F$40:$F$116,B36)*IF(MONTH(A36)=8,1-'Inputs'!$C$23,1)</x:f>
        <x:v>488</x:v>
      </x:c>
      <x:c r="D36" s="25" t="n">
        <x:f>D35+C36</x:f>
        <x:v>23122</x:v>
      </x:c>
      <x:c r="E36" s="19" t="n">
        <x:f>ROUND(D36*'Inputs'!$C$30,0)-F35</x:f>
        <x:v>15</x:v>
      </x:c>
      <x:c r="F36" s="16" t="n">
        <x:f>F35+E36</x:f>
        <x:v>685</x:v>
      </x:c>
      <x:c r="G36" s="27" t="n">
        <x:f>E36*'Inputs'!$C$5</x:f>
        <x:v>270</x:v>
      </x:c>
      <x:c r="H36" s="27" t="n">
        <x:f>'Inputs'!$C$11*'Inputs'!$C$12</x:f>
        <x:v>176</x:v>
      </x:c>
      <x:c r="I36" s="27" t="n">
        <x:f>IF(AND(DAY(A36)=1,A36&gt;'Inputs'!$C$24),'Inputs'!$C$13,0)</x:f>
        <x:v>0</x:v>
      </x:c>
      <x:c r="J36" s="27" t="n">
        <x:f>IF(DAY(A36)=1,'Inputs'!$C$14,0)</x:f>
        <x:v>0</x:v>
      </x:c>
      <x:c r="K36" s="27" t="n">
        <x:f>IF(DAY(A36)=1,'Inputs'!$C$15,0)</x:f>
        <x:v>0</x:v>
      </x:c>
      <x:c r="L36" s="27" t="n">
        <x:f>IF(DAY(A36)=1,'Inputs'!$C$16,0)</x:f>
        <x:v>0</x:v>
      </x:c>
      <x:c r="M36" s="27" t="n">
        <x:f>0</x:f>
        <x:v>0</x:v>
      </x:c>
      <x:c r="N36" s="27" t="n">
        <x:f>0</x:f>
        <x:v>0</x:v>
      </x:c>
      <x:c r="O36" s="27" t="n">
        <x:f>0</x:f>
        <x:v>0</x:v>
      </x:c>
      <x:c r="P36" s="27" t="n">
        <x:f>0</x:f>
        <x:v>0</x:v>
      </x:c>
      <x:c r="Q36" s="19" t="n">
        <x:f>0</x:f>
        <x:v>0</x:v>
      </x:c>
      <x:c r="R36" s="27" t="n">
        <x:f>Q36*'Inputs'!$C$7</x:f>
        <x:v>0</x:v>
      </x:c>
      <x:c r="S36" s="27" t="n">
        <x:f>G36*'Inputs'!$C$10</x:f>
        <x:v>8.1</x:v>
      </x:c>
      <x:c r="T36" s="18" t="n">
        <x:f>SUM(H36:P36)+SUM(R36:S36)</x:f>
        <x:v>184.1</x:v>
      </x:c>
      <x:c r="U36" s="18" t="n">
        <x:f>U35+G36</x:f>
        <x:v>12330</x:v>
      </x:c>
      <x:c r="V36" s="18" t="n">
        <x:f>V35+T36</x:f>
        <x:v>13224.900000000003</x:v>
      </x:c>
      <x:c r="W36" s="18" t="n">
        <x:f>U36-V36</x:f>
        <x:v>-894.9000000000033</x:v>
      </x:c>
      <x:c r="X36" s="16" t="n">
        <x:f>X35+Q36-E36</x:f>
        <x:v>165</x:v>
      </x:c>
      <x:c r="Y36" s="27" t="n">
        <x:f>0</x:f>
        <x:v>0</x:v>
      </x:c>
      <x:c r="Z36" s="27" t="n">
        <x:f>0</x:f>
        <x:v>0</x:v>
      </x:c>
      <x:c r="AA36" s="27" t="n">
        <x:f>AC35</x:f>
        <x:v>16519.199999999997</x:v>
      </x:c>
      <x:c r="AB36" s="18" t="n">
        <x:f>AA36-T36-Y36+Z36</x:f>
        <x:v>16335.099999999997</x:v>
      </x:c>
      <x:c r="AC36" s="18" t="n">
        <x:f>AB36+G36</x:f>
        <x:v>16605.1</x:v>
      </x:c>
      <x:c r="AE36" t="str">
        <x:f>TEXT(A36,"mmm d")</x:f>
        <x:v>Jun 30</x:v>
      </x:c>
      <x:c r="AF36" s="46" t="n">
        <x:f>U36</x:f>
        <x:v>12330</x:v>
      </x:c>
      <x:c r="AG36" s="46" t="n">
        <x:f>V36</x:f>
        <x:v>13224.900000000003</x:v>
      </x:c>
    </x:row>
    <x:row r="37" ht="22" customHeight="1">
      <x:c r="A37" s="23" t="n">
        <x:f>46569</x:f>
        <x:v>46569</x:v>
      </x:c>
      <x:c r="B37" s="24" t="str">
        <x:f>"Thursday"</x:f>
        <x:v>Thursday</x:v>
      </x:c>
      <x:c r="C37" s="26" t="n">
        <x:f>SUMIFS('Inputs'!$H$40:$H$116,'Inputs'!$F$40:$F$116,B37)*IF(MONTH(A37)=8,1-'Inputs'!$C$23,1)</x:f>
        <x:v>488</x:v>
      </x:c>
      <x:c r="D37" s="25" t="n">
        <x:f>D36+C37</x:f>
        <x:v>23610</x:v>
      </x:c>
      <x:c r="E37" s="19" t="n">
        <x:f>ROUND(D37*'Inputs'!$C$30,0)-F36</x:f>
        <x:v>14</x:v>
      </x:c>
      <x:c r="F37" s="16" t="n">
        <x:f>F36+E37</x:f>
        <x:v>699</x:v>
      </x:c>
      <x:c r="G37" s="27" t="n">
        <x:f>E37*'Inputs'!$C$5</x:f>
        <x:v>252</x:v>
      </x:c>
      <x:c r="H37" s="27" t="n">
        <x:f>'Inputs'!$C$11*'Inputs'!$C$12</x:f>
        <x:v>176</x:v>
      </x:c>
      <x:c r="I37" s="27" t="n">
        <x:f>IF(AND(DAY(A37)=1,A37&gt;'Inputs'!$C$24),'Inputs'!$C$13,0)</x:f>
        <x:v>2500</x:v>
      </x:c>
      <x:c r="J37" s="27" t="n">
        <x:f>IF(DAY(A37)=1,'Inputs'!$C$14,0)</x:f>
        <x:v>45</x:v>
      </x:c>
      <x:c r="K37" s="27" t="n">
        <x:f>IF(DAY(A37)=1,'Inputs'!$C$15,0)</x:f>
        <x:v>100</x:v>
      </x:c>
      <x:c r="L37" s="27" t="n">
        <x:f>IF(DAY(A37)=1,'Inputs'!$C$16,0)</x:f>
        <x:v>80</x:v>
      </x:c>
      <x:c r="M37" s="27" t="n">
        <x:f>0</x:f>
        <x:v>0</x:v>
      </x:c>
      <x:c r="N37" s="27" t="n">
        <x:f>0</x:f>
        <x:v>0</x:v>
      </x:c>
      <x:c r="O37" s="27" t="n">
        <x:f>0</x:f>
        <x:v>0</x:v>
      </x:c>
      <x:c r="P37" s="27" t="n">
        <x:f>0</x:f>
        <x:v>0</x:v>
      </x:c>
      <x:c r="Q37" s="19" t="n">
        <x:f>0</x:f>
        <x:v>0</x:v>
      </x:c>
      <x:c r="R37" s="27" t="n">
        <x:f>Q37*'Inputs'!$C$7</x:f>
        <x:v>0</x:v>
      </x:c>
      <x:c r="S37" s="27" t="n">
        <x:f>G37*'Inputs'!$C$10</x:f>
        <x:v>7.56</x:v>
      </x:c>
      <x:c r="T37" s="18" t="n">
        <x:f>SUM(H37:P37)+SUM(R37:S37)</x:f>
        <x:v>2908.56</x:v>
      </x:c>
      <x:c r="U37" s="18" t="n">
        <x:f>U36+G37</x:f>
        <x:v>12582</x:v>
      </x:c>
      <x:c r="V37" s="18" t="n">
        <x:f>V36+T37</x:f>
        <x:v>16133.460000000003</x:v>
      </x:c>
      <x:c r="W37" s="18" t="n">
        <x:f>U37-V37</x:f>
        <x:v>-3551.4600000000028</x:v>
      </x:c>
      <x:c r="X37" s="16" t="n">
        <x:f>X36+Q37-E37</x:f>
        <x:v>151</x:v>
      </x:c>
      <x:c r="Y37" s="27" t="n">
        <x:f>0</x:f>
        <x:v>0</x:v>
      </x:c>
      <x:c r="Z37" s="27" t="n">
        <x:f>0</x:f>
        <x:v>0</x:v>
      </x:c>
      <x:c r="AA37" s="27" t="n">
        <x:f>AC36</x:f>
        <x:v>16605.1</x:v>
      </x:c>
      <x:c r="AB37" s="18" t="n">
        <x:f>AA37-T37-Y37+Z37</x:f>
        <x:v>13696.539999999999</x:v>
      </x:c>
      <x:c r="AC37" s="18" t="n">
        <x:f>AB37+G37</x:f>
        <x:v>13948.539999999999</x:v>
      </x:c>
      <x:c r="AE37" t="str">
        <x:f>TEXT(A37,"mmm d")</x:f>
        <x:v>Jul 1</x:v>
      </x:c>
      <x:c r="AF37" s="46" t="n">
        <x:f>U37</x:f>
        <x:v>12582</x:v>
      </x:c>
      <x:c r="AG37" s="46" t="n">
        <x:f>V37</x:f>
        <x:v>16133.460000000003</x:v>
      </x:c>
    </x:row>
    <x:row r="38" ht="22" customHeight="1">
      <x:c r="A38" s="23" t="n">
        <x:f>46570</x:f>
        <x:v>46570</x:v>
      </x:c>
      <x:c r="B38" s="24" t="str">
        <x:f>"Friday"</x:f>
        <x:v>Friday</x:v>
      </x:c>
      <x:c r="C38" s="26" t="n">
        <x:f>SUMIFS('Inputs'!$H$40:$H$116,'Inputs'!$F$40:$F$116,B38)*IF(MONTH(A38)=8,1-'Inputs'!$C$23,1)</x:f>
        <x:v>565</x:v>
      </x:c>
      <x:c r="D38" s="25" t="n">
        <x:f>D37+C38</x:f>
        <x:v>24175</x:v>
      </x:c>
      <x:c r="E38" s="19" t="n">
        <x:f>ROUND(D38*'Inputs'!$C$30,0)-F37</x:f>
        <x:v>17</x:v>
      </x:c>
      <x:c r="F38" s="16" t="n">
        <x:f>F37+E38</x:f>
        <x:v>716</x:v>
      </x:c>
      <x:c r="G38" s="27" t="n">
        <x:f>E38*'Inputs'!$C$5</x:f>
        <x:v>306</x:v>
      </x:c>
      <x:c r="H38" s="27" t="n">
        <x:f>'Inputs'!$C$11*'Inputs'!$C$12</x:f>
        <x:v>176</x:v>
      </x:c>
      <x:c r="I38" s="27" t="n">
        <x:f>IF(AND(DAY(A38)=1,A38&gt;'Inputs'!$C$24),'Inputs'!$C$13,0)</x:f>
        <x:v>0</x:v>
      </x:c>
      <x:c r="J38" s="27" t="n">
        <x:f>IF(DAY(A38)=1,'Inputs'!$C$14,0)</x:f>
        <x:v>0</x:v>
      </x:c>
      <x:c r="K38" s="27" t="n">
        <x:f>IF(DAY(A38)=1,'Inputs'!$C$15,0)</x:f>
        <x:v>0</x:v>
      </x:c>
      <x:c r="L38" s="27" t="n">
        <x:f>IF(DAY(A38)=1,'Inputs'!$C$16,0)</x:f>
        <x:v>0</x:v>
      </x:c>
      <x:c r="M38" s="27" t="n">
        <x:f>0</x:f>
        <x:v>0</x:v>
      </x:c>
      <x:c r="N38" s="27" t="n">
        <x:f>0</x:f>
        <x:v>0</x:v>
      </x:c>
      <x:c r="O38" s="27" t="n">
        <x:f>0</x:f>
        <x:v>0</x:v>
      </x:c>
      <x:c r="P38" s="27" t="n">
        <x:f>0</x:f>
        <x:v>0</x:v>
      </x:c>
      <x:c r="Q38" s="19" t="n">
        <x:f>0</x:f>
        <x:v>0</x:v>
      </x:c>
      <x:c r="R38" s="27" t="n">
        <x:f>Q38*'Inputs'!$C$7</x:f>
        <x:v>0</x:v>
      </x:c>
      <x:c r="S38" s="27" t="n">
        <x:f>G38*'Inputs'!$C$10</x:f>
        <x:v>9.18</x:v>
      </x:c>
      <x:c r="T38" s="18" t="n">
        <x:f>SUM(H38:P38)+SUM(R38:S38)</x:f>
        <x:v>185.18</x:v>
      </x:c>
      <x:c r="U38" s="18" t="n">
        <x:f>U37+G38</x:f>
        <x:v>12888</x:v>
      </x:c>
      <x:c r="V38" s="18" t="n">
        <x:f>V37+T38</x:f>
        <x:v>16318.640000000003</x:v>
      </x:c>
      <x:c r="W38" s="18" t="n">
        <x:f>U38-V38</x:f>
        <x:v>-3430.640000000003</x:v>
      </x:c>
      <x:c r="X38" s="16" t="n">
        <x:f>X37+Q38-E38</x:f>
        <x:v>134</x:v>
      </x:c>
      <x:c r="Y38" s="27" t="n">
        <x:f>0</x:f>
        <x:v>0</x:v>
      </x:c>
      <x:c r="Z38" s="27" t="n">
        <x:f>0</x:f>
        <x:v>0</x:v>
      </x:c>
      <x:c r="AA38" s="27" t="n">
        <x:f>AC37</x:f>
        <x:v>13948.539999999999</x:v>
      </x:c>
      <x:c r="AB38" s="18" t="n">
        <x:f>AA38-T38-Y38+Z38</x:f>
        <x:v>13763.359999999999</x:v>
      </x:c>
      <x:c r="AC38" s="18" t="n">
        <x:f>AB38+G38</x:f>
        <x:v>14069.359999999999</x:v>
      </x:c>
      <x:c r="AE38" t="str">
        <x:f>TEXT(A38,"mmm d")</x:f>
        <x:v>Jul 2</x:v>
      </x:c>
      <x:c r="AF38" s="46" t="n">
        <x:f>U38</x:f>
        <x:v>12888</x:v>
      </x:c>
      <x:c r="AG38" s="46" t="n">
        <x:f>V38</x:f>
        <x:v>16318.640000000003</x:v>
      </x:c>
    </x:row>
    <x:row r="39" ht="22" customHeight="1">
      <x:c r="A39" s="23" t="n">
        <x:f>46571</x:f>
        <x:v>46571</x:v>
      </x:c>
      <x:c r="B39" s="24" t="str">
        <x:f>"Saturday"</x:f>
        <x:v>Saturday</x:v>
      </x:c>
      <x:c r="C39" s="26" t="n">
        <x:f>SUMIFS('Inputs'!$H$40:$H$116,'Inputs'!$F$40:$F$116,B39)*IF(MONTH(A39)=8,1-'Inputs'!$C$23,1)</x:f>
        <x:v>1529</x:v>
      </x:c>
      <x:c r="D39" s="25" t="n">
        <x:f>D38+C39</x:f>
        <x:v>25704</x:v>
      </x:c>
      <x:c r="E39" s="19" t="n">
        <x:f>ROUND(D39*'Inputs'!$C$30,0)-F38</x:f>
        <x:v>45</x:v>
      </x:c>
      <x:c r="F39" s="16" t="n">
        <x:f>F38+E39</x:f>
        <x:v>761</x:v>
      </x:c>
      <x:c r="G39" s="27" t="n">
        <x:f>E39*'Inputs'!$C$5</x:f>
        <x:v>810</x:v>
      </x:c>
      <x:c r="H39" s="27" t="n">
        <x:f>'Inputs'!$C$11*'Inputs'!$C$12</x:f>
        <x:v>176</x:v>
      </x:c>
      <x:c r="I39" s="27" t="n">
        <x:f>IF(AND(DAY(A39)=1,A39&gt;'Inputs'!$C$24),'Inputs'!$C$13,0)</x:f>
        <x:v>0</x:v>
      </x:c>
      <x:c r="J39" s="27" t="n">
        <x:f>IF(DAY(A39)=1,'Inputs'!$C$14,0)</x:f>
        <x:v>0</x:v>
      </x:c>
      <x:c r="K39" s="27" t="n">
        <x:f>IF(DAY(A39)=1,'Inputs'!$C$15,0)</x:f>
        <x:v>0</x:v>
      </x:c>
      <x:c r="L39" s="27" t="n">
        <x:f>IF(DAY(A39)=1,'Inputs'!$C$16,0)</x:f>
        <x:v>0</x:v>
      </x:c>
      <x:c r="M39" s="27" t="n">
        <x:f>0</x:f>
        <x:v>0</x:v>
      </x:c>
      <x:c r="N39" s="27" t="n">
        <x:f>0</x:f>
        <x:v>0</x:v>
      </x:c>
      <x:c r="O39" s="27" t="n">
        <x:f>0</x:f>
        <x:v>0</x:v>
      </x:c>
      <x:c r="P39" s="27" t="n">
        <x:f>0</x:f>
        <x:v>0</x:v>
      </x:c>
      <x:c r="Q39" s="19" t="n">
        <x:f>0</x:f>
        <x:v>0</x:v>
      </x:c>
      <x:c r="R39" s="27" t="n">
        <x:f>Q39*'Inputs'!$C$7</x:f>
        <x:v>0</x:v>
      </x:c>
      <x:c r="S39" s="27" t="n">
        <x:f>G39*'Inputs'!$C$10</x:f>
        <x:v>24.3</x:v>
      </x:c>
      <x:c r="T39" s="18" t="n">
        <x:f>SUM(H39:P39)+SUM(R39:S39)</x:f>
        <x:v>200.3</x:v>
      </x:c>
      <x:c r="U39" s="18" t="n">
        <x:f>U38+G39</x:f>
        <x:v>13698</x:v>
      </x:c>
      <x:c r="V39" s="18" t="n">
        <x:f>V38+T39</x:f>
        <x:v>16518.940000000002</x:v>
      </x:c>
      <x:c r="W39" s="18" t="n">
        <x:f>U39-V39</x:f>
        <x:v>-2820.9400000000023</x:v>
      </x:c>
      <x:c r="X39" s="16" t="n">
        <x:f>X38+Q39-E39</x:f>
        <x:v>89</x:v>
      </x:c>
      <x:c r="Y39" s="27" t="n">
        <x:f>0</x:f>
        <x:v>0</x:v>
      </x:c>
      <x:c r="Z39" s="27" t="n">
        <x:f>0</x:f>
        <x:v>0</x:v>
      </x:c>
      <x:c r="AA39" s="27" t="n">
        <x:f>AC38</x:f>
        <x:v>14069.359999999999</x:v>
      </x:c>
      <x:c r="AB39" s="18" t="n">
        <x:f>AA39-T39-Y39+Z39</x:f>
        <x:v>13869.06</x:v>
      </x:c>
      <x:c r="AC39" s="18" t="n">
        <x:f>AB39+G39</x:f>
        <x:v>14679.06</x:v>
      </x:c>
      <x:c r="AE39" t="str">
        <x:f>TEXT(A39,"mmm d")</x:f>
        <x:v>Jul 3</x:v>
      </x:c>
      <x:c r="AF39" s="46" t="n">
        <x:f>U39</x:f>
        <x:v>13698</x:v>
      </x:c>
      <x:c r="AG39" s="46" t="n">
        <x:f>V39</x:f>
        <x:v>16518.940000000002</x:v>
      </x:c>
    </x:row>
    <x:row r="40" ht="22" customHeight="1">
      <x:c r="A40" s="23" t="n">
        <x:f>46572</x:f>
        <x:v>46572</x:v>
      </x:c>
      <x:c r="B40" s="24" t="str">
        <x:f>"Sunday"</x:f>
        <x:v>Sunday</x:v>
      </x:c>
      <x:c r="C40" s="26" t="n">
        <x:f>SUMIFS('Inputs'!$H$40:$H$116,'Inputs'!$F$40:$F$116,B40)*IF(MONTH(A40)=8,1-'Inputs'!$C$23,1)</x:f>
        <x:v>1463</x:v>
      </x:c>
      <x:c r="D40" s="25" t="n">
        <x:f>D39+C40</x:f>
        <x:v>27167</x:v>
      </x:c>
      <x:c r="E40" s="19" t="n">
        <x:f>ROUND(D40*'Inputs'!$C$30,0)-F39</x:f>
        <x:v>44</x:v>
      </x:c>
      <x:c r="F40" s="16" t="n">
        <x:f>F39+E40</x:f>
        <x:v>805</x:v>
      </x:c>
      <x:c r="G40" s="27" t="n">
        <x:f>E40*'Inputs'!$C$5</x:f>
        <x:v>792</x:v>
      </x:c>
      <x:c r="H40" s="27" t="n">
        <x:f>'Inputs'!$C$11*'Inputs'!$C$12</x:f>
        <x:v>176</x:v>
      </x:c>
      <x:c r="I40" s="27" t="n">
        <x:f>IF(AND(DAY(A40)=1,A40&gt;'Inputs'!$C$24),'Inputs'!$C$13,0)</x:f>
        <x:v>0</x:v>
      </x:c>
      <x:c r="J40" s="27" t="n">
        <x:f>IF(DAY(A40)=1,'Inputs'!$C$14,0)</x:f>
        <x:v>0</x:v>
      </x:c>
      <x:c r="K40" s="27" t="n">
        <x:f>IF(DAY(A40)=1,'Inputs'!$C$15,0)</x:f>
        <x:v>0</x:v>
      </x:c>
      <x:c r="L40" s="27" t="n">
        <x:f>IF(DAY(A40)=1,'Inputs'!$C$16,0)</x:f>
        <x:v>0</x:v>
      </x:c>
      <x:c r="M40" s="27" t="n">
        <x:f>0</x:f>
        <x:v>0</x:v>
      </x:c>
      <x:c r="N40" s="27" t="n">
        <x:f>0</x:f>
        <x:v>0</x:v>
      </x:c>
      <x:c r="O40" s="27" t="n">
        <x:f>0</x:f>
        <x:v>0</x:v>
      </x:c>
      <x:c r="P40" s="27" t="n">
        <x:f>0</x:f>
        <x:v>0</x:v>
      </x:c>
      <x:c r="Q40" s="19" t="n">
        <x:f>0</x:f>
        <x:v>0</x:v>
      </x:c>
      <x:c r="R40" s="27" t="n">
        <x:f>Q40*'Inputs'!$C$7</x:f>
        <x:v>0</x:v>
      </x:c>
      <x:c r="S40" s="27" t="n">
        <x:f>G40*'Inputs'!$C$10</x:f>
        <x:v>23.759999999999998</x:v>
      </x:c>
      <x:c r="T40" s="18" t="n">
        <x:f>SUM(H40:P40)+SUM(R40:S40)</x:f>
        <x:v>199.76</x:v>
      </x:c>
      <x:c r="U40" s="18" t="n">
        <x:f>U39+G40</x:f>
        <x:v>14490</x:v>
      </x:c>
      <x:c r="V40" s="18" t="n">
        <x:f>V39+T40</x:f>
        <x:v>16718.7</x:v>
      </x:c>
      <x:c r="W40" s="18" t="n">
        <x:f>U40-V40</x:f>
        <x:v>-2228.7000000000007</x:v>
      </x:c>
      <x:c r="X40" s="16" t="n">
        <x:f>X39+Q40-E40</x:f>
        <x:v>45</x:v>
      </x:c>
      <x:c r="Y40" s="27" t="n">
        <x:f>0</x:f>
        <x:v>0</x:v>
      </x:c>
      <x:c r="Z40" s="27" t="n">
        <x:f>0</x:f>
        <x:v>0</x:v>
      </x:c>
      <x:c r="AA40" s="27" t="n">
        <x:f>AC39</x:f>
        <x:v>14679.06</x:v>
      </x:c>
      <x:c r="AB40" s="18" t="n">
        <x:f>AA40-T40-Y40+Z40</x:f>
        <x:v>14479.3</x:v>
      </x:c>
      <x:c r="AC40" s="18" t="n">
        <x:f>AB40+G40</x:f>
        <x:v>15271.3</x:v>
      </x:c>
      <x:c r="AE40" t="str">
        <x:f>TEXT(A40,"mmm d")</x:f>
        <x:v>Jul 4</x:v>
      </x:c>
      <x:c r="AF40" s="46" t="n">
        <x:f>U40</x:f>
        <x:v>14490</x:v>
      </x:c>
      <x:c r="AG40" s="46" t="n">
        <x:f>V40</x:f>
        <x:v>16718.7</x:v>
      </x:c>
    </x:row>
    <x:row r="41" ht="22" customHeight="1">
      <x:c r="A41" s="23" t="n">
        <x:f>46573</x:f>
        <x:v>46573</x:v>
      </x:c>
      <x:c r="B41" s="24" t="str">
        <x:f>"Monday"</x:f>
        <x:v>Monday</x:v>
      </x:c>
      <x:c r="C41" s="26" t="n">
        <x:f>SUMIFS('Inputs'!$H$40:$H$116,'Inputs'!$F$40:$F$116,B41)*IF(MONTH(A41)=8,1-'Inputs'!$C$23,1)</x:f>
        <x:v>488</x:v>
      </x:c>
      <x:c r="D41" s="25" t="n">
        <x:f>D40+C41</x:f>
        <x:v>27655</x:v>
      </x:c>
      <x:c r="E41" s="19" t="n">
        <x:f>ROUND(D41*'Inputs'!$C$30,0)-F40</x:f>
        <x:v>14</x:v>
      </x:c>
      <x:c r="F41" s="16" t="n">
        <x:f>F40+E41</x:f>
        <x:v>819</x:v>
      </x:c>
      <x:c r="G41" s="27" t="n">
        <x:f>E41*'Inputs'!$C$5</x:f>
        <x:v>252</x:v>
      </x:c>
      <x:c r="H41" s="27" t="n">
        <x:f>'Inputs'!$C$11*'Inputs'!$C$12</x:f>
        <x:v>176</x:v>
      </x:c>
      <x:c r="I41" s="27" t="n">
        <x:f>IF(AND(DAY(A41)=1,A41&gt;'Inputs'!$C$24),'Inputs'!$C$13,0)</x:f>
        <x:v>0</x:v>
      </x:c>
      <x:c r="J41" s="27" t="n">
        <x:f>IF(DAY(A41)=1,'Inputs'!$C$14,0)</x:f>
        <x:v>0</x:v>
      </x:c>
      <x:c r="K41" s="27" t="n">
        <x:f>IF(DAY(A41)=1,'Inputs'!$C$15,0)</x:f>
        <x:v>0</x:v>
      </x:c>
      <x:c r="L41" s="27" t="n">
        <x:f>IF(DAY(A41)=1,'Inputs'!$C$16,0)</x:f>
        <x:v>0</x:v>
      </x:c>
      <x:c r="M41" s="27" t="n">
        <x:f>0</x:f>
        <x:v>0</x:v>
      </x:c>
      <x:c r="N41" s="27" t="n">
        <x:f>0</x:f>
        <x:v>0</x:v>
      </x:c>
      <x:c r="O41" s="27" t="n">
        <x:f>0</x:f>
        <x:v>0</x:v>
      </x:c>
      <x:c r="P41" s="27" t="n">
        <x:f>0</x:f>
        <x:v>0</x:v>
      </x:c>
      <x:c r="Q41" s="19" t="n">
        <x:f>0</x:f>
        <x:v>0</x:v>
      </x:c>
      <x:c r="R41" s="27" t="n">
        <x:f>Q41*'Inputs'!$C$7</x:f>
        <x:v>0</x:v>
      </x:c>
      <x:c r="S41" s="27" t="n">
        <x:f>G41*'Inputs'!$C$10</x:f>
        <x:v>7.56</x:v>
      </x:c>
      <x:c r="T41" s="18" t="n">
        <x:f>SUM(H41:P41)+SUM(R41:S41)</x:f>
        <x:v>183.56</x:v>
      </x:c>
      <x:c r="U41" s="18" t="n">
        <x:f>U40+G41</x:f>
        <x:v>14742</x:v>
      </x:c>
      <x:c r="V41" s="18" t="n">
        <x:f>V40+T41</x:f>
        <x:v>16902.260000000002</x:v>
      </x:c>
      <x:c r="W41" s="18" t="n">
        <x:f>U41-V41</x:f>
        <x:v>-2160.260000000002</x:v>
      </x:c>
      <x:c r="X41" s="16" t="n">
        <x:f>X40+Q41-E41</x:f>
        <x:v>31</x:v>
      </x:c>
      <x:c r="Y41" s="27" t="n">
        <x:f>0</x:f>
        <x:v>0</x:v>
      </x:c>
      <x:c r="Z41" s="27" t="n">
        <x:f>0</x:f>
        <x:v>0</x:v>
      </x:c>
      <x:c r="AA41" s="27" t="n">
        <x:f>AC40</x:f>
        <x:v>15271.3</x:v>
      </x:c>
      <x:c r="AB41" s="18" t="n">
        <x:f>AA41-T41-Y41+Z41</x:f>
        <x:v>15087.74</x:v>
      </x:c>
      <x:c r="AC41" s="18" t="n">
        <x:f>AB41+G41</x:f>
        <x:v>15339.74</x:v>
      </x:c>
      <x:c r="AE41" t="str">
        <x:f>TEXT(A41,"mmm d")</x:f>
        <x:v>Jul 5</x:v>
      </x:c>
      <x:c r="AF41" s="46" t="n">
        <x:f>U41</x:f>
        <x:v>14742</x:v>
      </x:c>
      <x:c r="AG41" s="46" t="n">
        <x:f>V41</x:f>
        <x:v>16902.260000000002</x:v>
      </x:c>
    </x:row>
    <x:row r="42" ht="22" customHeight="1">
      <x:c r="A42" s="23" t="n">
        <x:f>46574</x:f>
        <x:v>46574</x:v>
      </x:c>
      <x:c r="B42" s="24" t="str">
        <x:f>"Tuesday"</x:f>
        <x:v>Tuesday</x:v>
      </x:c>
      <x:c r="C42" s="26" t="n">
        <x:f>SUMIFS('Inputs'!$H$40:$H$116,'Inputs'!$F$40:$F$116,B42)*IF(MONTH(A42)=8,1-'Inputs'!$C$23,1)</x:f>
        <x:v>510</x:v>
      </x:c>
      <x:c r="D42" s="25" t="n">
        <x:f>D41+C42</x:f>
        <x:v>28165</x:v>
      </x:c>
      <x:c r="E42" s="19" t="n">
        <x:f>ROUND(D42*'Inputs'!$C$30,0)-F41</x:f>
        <x:v>15</x:v>
      </x:c>
      <x:c r="F42" s="16" t="n">
        <x:f>F41+E42</x:f>
        <x:v>834</x:v>
      </x:c>
      <x:c r="G42" s="27" t="n">
        <x:f>E42*'Inputs'!$C$5</x:f>
        <x:v>270</x:v>
      </x:c>
      <x:c r="H42" s="27" t="n">
        <x:f>'Inputs'!$C$11*'Inputs'!$C$12</x:f>
        <x:v>176</x:v>
      </x:c>
      <x:c r="I42" s="27" t="n">
        <x:f>IF(AND(DAY(A42)=1,A42&gt;'Inputs'!$C$24),'Inputs'!$C$13,0)</x:f>
        <x:v>0</x:v>
      </x:c>
      <x:c r="J42" s="27" t="n">
        <x:f>IF(DAY(A42)=1,'Inputs'!$C$14,0)</x:f>
        <x:v>0</x:v>
      </x:c>
      <x:c r="K42" s="27" t="n">
        <x:f>IF(DAY(A42)=1,'Inputs'!$C$15,0)</x:f>
        <x:v>0</x:v>
      </x:c>
      <x:c r="L42" s="27" t="n">
        <x:f>IF(DAY(A42)=1,'Inputs'!$C$16,0)</x:f>
        <x:v>0</x:v>
      </x:c>
      <x:c r="M42" s="27" t="n">
        <x:f>0</x:f>
        <x:v>0</x:v>
      </x:c>
      <x:c r="N42" s="27" t="n">
        <x:f>0</x:f>
        <x:v>0</x:v>
      </x:c>
      <x:c r="O42" s="27" t="n">
        <x:f>0</x:f>
        <x:v>0</x:v>
      </x:c>
      <x:c r="P42" s="27" t="n">
        <x:f>0</x:f>
        <x:v>0</x:v>
      </x:c>
      <x:c r="Q42" s="19" t="n">
        <x:f>ROUNDUP(MAX(0,SUM(E42:E48)-X41)/'Inputs'!$C$8,0)*'Inputs'!$C$8</x:f>
        <x:v>150</x:v>
      </x:c>
      <x:c r="R42" s="27" t="n">
        <x:f>Q42*'Inputs'!$C$7</x:f>
        <x:v>600</x:v>
      </x:c>
      <x:c r="S42" s="27" t="n">
        <x:f>G42*'Inputs'!$C$10</x:f>
        <x:v>8.1</x:v>
      </x:c>
      <x:c r="T42" s="18" t="n">
        <x:f>SUM(H42:P42)+SUM(R42:S42)</x:f>
        <x:v>784.1</x:v>
      </x:c>
      <x:c r="U42" s="18" t="n">
        <x:f>U41+G42</x:f>
        <x:v>15012</x:v>
      </x:c>
      <x:c r="V42" s="18" t="n">
        <x:f>V41+T42</x:f>
        <x:v>17686.36</x:v>
      </x:c>
      <x:c r="W42" s="18" t="n">
        <x:f>U42-V42</x:f>
        <x:v>-2674.3600000000006</x:v>
      </x:c>
      <x:c r="X42" s="16" t="n">
        <x:f>X41+Q42-E42</x:f>
        <x:v>166</x:v>
      </x:c>
      <x:c r="Y42" s="27" t="n">
        <x:f>0</x:f>
        <x:v>0</x:v>
      </x:c>
      <x:c r="Z42" s="27" t="n">
        <x:f>0</x:f>
        <x:v>0</x:v>
      </x:c>
      <x:c r="AA42" s="27" t="n">
        <x:f>AC41</x:f>
        <x:v>15339.74</x:v>
      </x:c>
      <x:c r="AB42" s="18" t="n">
        <x:f>AA42-T42-Y42+Z42</x:f>
        <x:v>14555.64</x:v>
      </x:c>
      <x:c r="AC42" s="18" t="n">
        <x:f>AB42+G42</x:f>
        <x:v>14825.64</x:v>
      </x:c>
      <x:c r="AE42" t="str">
        <x:f>TEXT(A42,"mmm d")</x:f>
        <x:v>Jul 6</x:v>
      </x:c>
      <x:c r="AF42" s="46" t="n">
        <x:f>U42</x:f>
        <x:v>15012</x:v>
      </x:c>
      <x:c r="AG42" s="46" t="n">
        <x:f>V42</x:f>
        <x:v>17686.36</x:v>
      </x:c>
    </x:row>
    <x:row r="43" ht="22" customHeight="1">
      <x:c r="A43" s="23" t="n">
        <x:f>46575</x:f>
        <x:v>46575</x:v>
      </x:c>
      <x:c r="B43" s="24" t="str">
        <x:f>"Wednesday"</x:f>
        <x:v>Wednesday</x:v>
      </x:c>
      <x:c r="C43" s="26" t="n">
        <x:f>SUMIFS('Inputs'!$H$40:$H$116,'Inputs'!$F$40:$F$116,B43)*IF(MONTH(A43)=8,1-'Inputs'!$C$23,1)</x:f>
        <x:v>488</x:v>
      </x:c>
      <x:c r="D43" s="25" t="n">
        <x:f>D42+C43</x:f>
        <x:v>28653</x:v>
      </x:c>
      <x:c r="E43" s="19" t="n">
        <x:f>ROUND(D43*'Inputs'!$C$30,0)-F42</x:f>
        <x:v>15</x:v>
      </x:c>
      <x:c r="F43" s="16" t="n">
        <x:f>F42+E43</x:f>
        <x:v>849</x:v>
      </x:c>
      <x:c r="G43" s="27" t="n">
        <x:f>E43*'Inputs'!$C$5</x:f>
        <x:v>270</x:v>
      </x:c>
      <x:c r="H43" s="27" t="n">
        <x:f>'Inputs'!$C$11*'Inputs'!$C$12</x:f>
        <x:v>176</x:v>
      </x:c>
      <x:c r="I43" s="27" t="n">
        <x:f>IF(AND(DAY(A43)=1,A43&gt;'Inputs'!$C$24),'Inputs'!$C$13,0)</x:f>
        <x:v>0</x:v>
      </x:c>
      <x:c r="J43" s="27" t="n">
        <x:f>IF(DAY(A43)=1,'Inputs'!$C$14,0)</x:f>
        <x:v>0</x:v>
      </x:c>
      <x:c r="K43" s="27" t="n">
        <x:f>IF(DAY(A43)=1,'Inputs'!$C$15,0)</x:f>
        <x:v>0</x:v>
      </x:c>
      <x:c r="L43" s="27" t="n">
        <x:f>IF(DAY(A43)=1,'Inputs'!$C$16,0)</x:f>
        <x:v>0</x:v>
      </x:c>
      <x:c r="M43" s="27" t="n">
        <x:f>0</x:f>
        <x:v>0</x:v>
      </x:c>
      <x:c r="N43" s="27" t="n">
        <x:f>0</x:f>
        <x:v>0</x:v>
      </x:c>
      <x:c r="O43" s="27" t="n">
        <x:f>0</x:f>
        <x:v>0</x:v>
      </x:c>
      <x:c r="P43" s="27" t="n">
        <x:f>0</x:f>
        <x:v>0</x:v>
      </x:c>
      <x:c r="Q43" s="19" t="n">
        <x:f>0</x:f>
        <x:v>0</x:v>
      </x:c>
      <x:c r="R43" s="27" t="n">
        <x:f>Q43*'Inputs'!$C$7</x:f>
        <x:v>0</x:v>
      </x:c>
      <x:c r="S43" s="27" t="n">
        <x:f>G43*'Inputs'!$C$10</x:f>
        <x:v>8.1</x:v>
      </x:c>
      <x:c r="T43" s="18" t="n">
        <x:f>SUM(H43:P43)+SUM(R43:S43)</x:f>
        <x:v>184.1</x:v>
      </x:c>
      <x:c r="U43" s="18" t="n">
        <x:f>U42+G43</x:f>
        <x:v>15282</x:v>
      </x:c>
      <x:c r="V43" s="18" t="n">
        <x:f>V42+T43</x:f>
        <x:v>17870.46</x:v>
      </x:c>
      <x:c r="W43" s="18" t="n">
        <x:f>U43-V43</x:f>
        <x:v>-2588.459999999999</x:v>
      </x:c>
      <x:c r="X43" s="16" t="n">
        <x:f>X42+Q43-E43</x:f>
        <x:v>151</x:v>
      </x:c>
      <x:c r="Y43" s="27" t="n">
        <x:f>0</x:f>
        <x:v>0</x:v>
      </x:c>
      <x:c r="Z43" s="27" t="n">
        <x:f>0</x:f>
        <x:v>0</x:v>
      </x:c>
      <x:c r="AA43" s="27" t="n">
        <x:f>AC42</x:f>
        <x:v>14825.64</x:v>
      </x:c>
      <x:c r="AB43" s="18" t="n">
        <x:f>AA43-T43-Y43+Z43</x:f>
        <x:v>14641.539999999999</x:v>
      </x:c>
      <x:c r="AC43" s="18" t="n">
        <x:f>AB43+G43</x:f>
        <x:v>14911.539999999999</x:v>
      </x:c>
      <x:c r="AE43" t="str">
        <x:f>TEXT(A43,"mmm d")</x:f>
        <x:v>Jul 7</x:v>
      </x:c>
      <x:c r="AF43" s="46" t="n">
        <x:f>U43</x:f>
        <x:v>15282</x:v>
      </x:c>
      <x:c r="AG43" s="46" t="n">
        <x:f>V43</x:f>
        <x:v>17870.46</x:v>
      </x:c>
    </x:row>
    <x:row r="44" ht="22" customHeight="1">
      <x:c r="A44" s="23" t="n">
        <x:f>46576</x:f>
        <x:v>46576</x:v>
      </x:c>
      <x:c r="B44" s="24" t="str">
        <x:f>"Thursday"</x:f>
        <x:v>Thursday</x:v>
      </x:c>
      <x:c r="C44" s="26" t="n">
        <x:f>SUMIFS('Inputs'!$H$40:$H$116,'Inputs'!$F$40:$F$116,B44)*IF(MONTH(A44)=8,1-'Inputs'!$C$23,1)</x:f>
        <x:v>488</x:v>
      </x:c>
      <x:c r="D44" s="25" t="n">
        <x:f>D43+C44</x:f>
        <x:v>29141</x:v>
      </x:c>
      <x:c r="E44" s="19" t="n">
        <x:f>ROUND(D44*'Inputs'!$C$30,0)-F43</x:f>
        <x:v>14</x:v>
      </x:c>
      <x:c r="F44" s="16" t="n">
        <x:f>F43+E44</x:f>
        <x:v>863</x:v>
      </x:c>
      <x:c r="G44" s="27" t="n">
        <x:f>E44*'Inputs'!$C$5</x:f>
        <x:v>252</x:v>
      </x:c>
      <x:c r="H44" s="27" t="n">
        <x:f>'Inputs'!$C$11*'Inputs'!$C$12</x:f>
        <x:v>176</x:v>
      </x:c>
      <x:c r="I44" s="27" t="n">
        <x:f>IF(AND(DAY(A44)=1,A44&gt;'Inputs'!$C$24),'Inputs'!$C$13,0)</x:f>
        <x:v>0</x:v>
      </x:c>
      <x:c r="J44" s="27" t="n">
        <x:f>IF(DAY(A44)=1,'Inputs'!$C$14,0)</x:f>
        <x:v>0</x:v>
      </x:c>
      <x:c r="K44" s="27" t="n">
        <x:f>IF(DAY(A44)=1,'Inputs'!$C$15,0)</x:f>
        <x:v>0</x:v>
      </x:c>
      <x:c r="L44" s="27" t="n">
        <x:f>IF(DAY(A44)=1,'Inputs'!$C$16,0)</x:f>
        <x:v>0</x:v>
      </x:c>
      <x:c r="M44" s="27" t="n">
        <x:f>0</x:f>
        <x:v>0</x:v>
      </x:c>
      <x:c r="N44" s="27" t="n">
        <x:f>0</x:f>
        <x:v>0</x:v>
      </x:c>
      <x:c r="O44" s="27" t="n">
        <x:f>0</x:f>
        <x:v>0</x:v>
      </x:c>
      <x:c r="P44" s="27" t="n">
        <x:f>0</x:f>
        <x:v>0</x:v>
      </x:c>
      <x:c r="Q44" s="19" t="n">
        <x:f>0</x:f>
        <x:v>0</x:v>
      </x:c>
      <x:c r="R44" s="27" t="n">
        <x:f>Q44*'Inputs'!$C$7</x:f>
        <x:v>0</x:v>
      </x:c>
      <x:c r="S44" s="27" t="n">
        <x:f>G44*'Inputs'!$C$10</x:f>
        <x:v>7.56</x:v>
      </x:c>
      <x:c r="T44" s="18" t="n">
        <x:f>SUM(H44:P44)+SUM(R44:S44)</x:f>
        <x:v>183.56</x:v>
      </x:c>
      <x:c r="U44" s="18" t="n">
        <x:f>U43+G44</x:f>
        <x:v>15534</x:v>
      </x:c>
      <x:c r="V44" s="18" t="n">
        <x:f>V43+T44</x:f>
        <x:v>18054.02</x:v>
      </x:c>
      <x:c r="W44" s="18" t="n">
        <x:f>U44-V44</x:f>
        <x:v>-2520.0200000000004</x:v>
      </x:c>
      <x:c r="X44" s="16" t="n">
        <x:f>X43+Q44-E44</x:f>
        <x:v>137</x:v>
      </x:c>
      <x:c r="Y44" s="27" t="n">
        <x:f>0</x:f>
        <x:v>0</x:v>
      </x:c>
      <x:c r="Z44" s="27" t="n">
        <x:f>0</x:f>
        <x:v>0</x:v>
      </x:c>
      <x:c r="AA44" s="27" t="n">
        <x:f>AC43</x:f>
        <x:v>14911.539999999999</x:v>
      </x:c>
      <x:c r="AB44" s="18" t="n">
        <x:f>AA44-T44-Y44+Z44</x:f>
        <x:v>14727.98</x:v>
      </x:c>
      <x:c r="AC44" s="18" t="n">
        <x:f>AB44+G44</x:f>
        <x:v>14979.98</x:v>
      </x:c>
      <x:c r="AE44" t="str">
        <x:f>TEXT(A44,"mmm d")</x:f>
        <x:v>Jul 8</x:v>
      </x:c>
      <x:c r="AF44" s="46" t="n">
        <x:f>U44</x:f>
        <x:v>15534</x:v>
      </x:c>
      <x:c r="AG44" s="46" t="n">
        <x:f>V44</x:f>
        <x:v>18054.02</x:v>
      </x:c>
    </x:row>
    <x:row r="45" ht="22" customHeight="1">
      <x:c r="A45" s="23" t="n">
        <x:f>46577</x:f>
        <x:v>46577</x:v>
      </x:c>
      <x:c r="B45" s="24" t="str">
        <x:f>"Friday"</x:f>
        <x:v>Friday</x:v>
      </x:c>
      <x:c r="C45" s="26" t="n">
        <x:f>SUMIFS('Inputs'!$H$40:$H$116,'Inputs'!$F$40:$F$116,B45)*IF(MONTH(A45)=8,1-'Inputs'!$C$23,1)</x:f>
        <x:v>565</x:v>
      </x:c>
      <x:c r="D45" s="25" t="n">
        <x:f>D44+C45</x:f>
        <x:v>29706</x:v>
      </x:c>
      <x:c r="E45" s="19" t="n">
        <x:f>ROUND(D45*'Inputs'!$C$30,0)-F44</x:f>
        <x:v>17</x:v>
      </x:c>
      <x:c r="F45" s="16" t="n">
        <x:f>F44+E45</x:f>
        <x:v>880</x:v>
      </x:c>
      <x:c r="G45" s="27" t="n">
        <x:f>E45*'Inputs'!$C$5</x:f>
        <x:v>306</x:v>
      </x:c>
      <x:c r="H45" s="27" t="n">
        <x:f>'Inputs'!$C$11*'Inputs'!$C$12</x:f>
        <x:v>176</x:v>
      </x:c>
      <x:c r="I45" s="27" t="n">
        <x:f>IF(AND(DAY(A45)=1,A45&gt;'Inputs'!$C$24),'Inputs'!$C$13,0)</x:f>
        <x:v>0</x:v>
      </x:c>
      <x:c r="J45" s="27" t="n">
        <x:f>IF(DAY(A45)=1,'Inputs'!$C$14,0)</x:f>
        <x:v>0</x:v>
      </x:c>
      <x:c r="K45" s="27" t="n">
        <x:f>IF(DAY(A45)=1,'Inputs'!$C$15,0)</x:f>
        <x:v>0</x:v>
      </x:c>
      <x:c r="L45" s="27" t="n">
        <x:f>IF(DAY(A45)=1,'Inputs'!$C$16,0)</x:f>
        <x:v>0</x:v>
      </x:c>
      <x:c r="M45" s="27" t="n">
        <x:f>0</x:f>
        <x:v>0</x:v>
      </x:c>
      <x:c r="N45" s="27" t="n">
        <x:f>0</x:f>
        <x:v>0</x:v>
      </x:c>
      <x:c r="O45" s="27" t="n">
        <x:f>0</x:f>
        <x:v>0</x:v>
      </x:c>
      <x:c r="P45" s="27" t="n">
        <x:f>0</x:f>
        <x:v>0</x:v>
      </x:c>
      <x:c r="Q45" s="19" t="n">
        <x:f>0</x:f>
        <x:v>0</x:v>
      </x:c>
      <x:c r="R45" s="27" t="n">
        <x:f>Q45*'Inputs'!$C$7</x:f>
        <x:v>0</x:v>
      </x:c>
      <x:c r="S45" s="27" t="n">
        <x:f>G45*'Inputs'!$C$10</x:f>
        <x:v>9.18</x:v>
      </x:c>
      <x:c r="T45" s="18" t="n">
        <x:f>SUM(H45:P45)+SUM(R45:S45)</x:f>
        <x:v>185.18</x:v>
      </x:c>
      <x:c r="U45" s="18" t="n">
        <x:f>U44+G45</x:f>
        <x:v>15840</x:v>
      </x:c>
      <x:c r="V45" s="18" t="n">
        <x:f>V44+T45</x:f>
        <x:v>18239.2</x:v>
      </x:c>
      <x:c r="W45" s="18" t="n">
        <x:f>U45-V45</x:f>
        <x:v>-2399.2000000000007</x:v>
      </x:c>
      <x:c r="X45" s="16" t="n">
        <x:f>X44+Q45-E45</x:f>
        <x:v>120</x:v>
      </x:c>
      <x:c r="Y45" s="27" t="n">
        <x:f>0</x:f>
        <x:v>0</x:v>
      </x:c>
      <x:c r="Z45" s="27" t="n">
        <x:f>0</x:f>
        <x:v>0</x:v>
      </x:c>
      <x:c r="AA45" s="27" t="n">
        <x:f>AC44</x:f>
        <x:v>14979.98</x:v>
      </x:c>
      <x:c r="AB45" s="18" t="n">
        <x:f>AA45-T45-Y45+Z45</x:f>
        <x:v>14794.8</x:v>
      </x:c>
      <x:c r="AC45" s="18" t="n">
        <x:f>AB45+G45</x:f>
        <x:v>15100.8</x:v>
      </x:c>
      <x:c r="AE45" t="str">
        <x:f>TEXT(A45,"mmm d")</x:f>
        <x:v>Jul 9</x:v>
      </x:c>
      <x:c r="AF45" s="46" t="n">
        <x:f>U45</x:f>
        <x:v>15840</x:v>
      </x:c>
      <x:c r="AG45" s="46" t="n">
        <x:f>V45</x:f>
        <x:v>18239.2</x:v>
      </x:c>
    </x:row>
    <x:row r="46" ht="22" customHeight="1">
      <x:c r="A46" s="23" t="n">
        <x:f>46578</x:f>
        <x:v>46578</x:v>
      </x:c>
      <x:c r="B46" s="24" t="str">
        <x:f>"Saturday"</x:f>
        <x:v>Saturday</x:v>
      </x:c>
      <x:c r="C46" s="26" t="n">
        <x:f>SUMIFS('Inputs'!$H$40:$H$116,'Inputs'!$F$40:$F$116,B46)*IF(MONTH(A46)=8,1-'Inputs'!$C$23,1)</x:f>
        <x:v>1529</x:v>
      </x:c>
      <x:c r="D46" s="25" t="n">
        <x:f>D45+C46</x:f>
        <x:v>31235</x:v>
      </x:c>
      <x:c r="E46" s="19" t="n">
        <x:f>ROUND(D46*'Inputs'!$C$30,0)-F45</x:f>
        <x:v>45</x:v>
      </x:c>
      <x:c r="F46" s="16" t="n">
        <x:f>F45+E46</x:f>
        <x:v>925</x:v>
      </x:c>
      <x:c r="G46" s="27" t="n">
        <x:f>E46*'Inputs'!$C$5</x:f>
        <x:v>810</x:v>
      </x:c>
      <x:c r="H46" s="27" t="n">
        <x:f>'Inputs'!$C$11*'Inputs'!$C$12</x:f>
        <x:v>176</x:v>
      </x:c>
      <x:c r="I46" s="27" t="n">
        <x:f>IF(AND(DAY(A46)=1,A46&gt;'Inputs'!$C$24),'Inputs'!$C$13,0)</x:f>
        <x:v>0</x:v>
      </x:c>
      <x:c r="J46" s="27" t="n">
        <x:f>IF(DAY(A46)=1,'Inputs'!$C$14,0)</x:f>
        <x:v>0</x:v>
      </x:c>
      <x:c r="K46" s="27" t="n">
        <x:f>IF(DAY(A46)=1,'Inputs'!$C$15,0)</x:f>
        <x:v>0</x:v>
      </x:c>
      <x:c r="L46" s="27" t="n">
        <x:f>IF(DAY(A46)=1,'Inputs'!$C$16,0)</x:f>
        <x:v>0</x:v>
      </x:c>
      <x:c r="M46" s="27" t="n">
        <x:f>0</x:f>
        <x:v>0</x:v>
      </x:c>
      <x:c r="N46" s="27" t="n">
        <x:f>0</x:f>
        <x:v>0</x:v>
      </x:c>
      <x:c r="O46" s="27" t="n">
        <x:f>0</x:f>
        <x:v>0</x:v>
      </x:c>
      <x:c r="P46" s="27" t="n">
        <x:f>0</x:f>
        <x:v>0</x:v>
      </x:c>
      <x:c r="Q46" s="19" t="n">
        <x:f>0</x:f>
        <x:v>0</x:v>
      </x:c>
      <x:c r="R46" s="27" t="n">
        <x:f>Q46*'Inputs'!$C$7</x:f>
        <x:v>0</x:v>
      </x:c>
      <x:c r="S46" s="27" t="n">
        <x:f>G46*'Inputs'!$C$10</x:f>
        <x:v>24.3</x:v>
      </x:c>
      <x:c r="T46" s="18" t="n">
        <x:f>SUM(H46:P46)+SUM(R46:S46)</x:f>
        <x:v>200.3</x:v>
      </x:c>
      <x:c r="U46" s="18" t="n">
        <x:f>U45+G46</x:f>
        <x:v>16650</x:v>
      </x:c>
      <x:c r="V46" s="18" t="n">
        <x:f>V45+T46</x:f>
        <x:v>18439.5</x:v>
      </x:c>
      <x:c r="W46" s="18" t="n">
        <x:f>U46-V46</x:f>
        <x:v>-1789.5</x:v>
      </x:c>
      <x:c r="X46" s="16" t="n">
        <x:f>X45+Q46-E46</x:f>
        <x:v>75</x:v>
      </x:c>
      <x:c r="Y46" s="27" t="n">
        <x:f>0</x:f>
        <x:v>0</x:v>
      </x:c>
      <x:c r="Z46" s="27" t="n">
        <x:f>0</x:f>
        <x:v>0</x:v>
      </x:c>
      <x:c r="AA46" s="27" t="n">
        <x:f>AC45</x:f>
        <x:v>15100.8</x:v>
      </x:c>
      <x:c r="AB46" s="18" t="n">
        <x:f>AA46-T46-Y46+Z46</x:f>
        <x:v>14900.5</x:v>
      </x:c>
      <x:c r="AC46" s="18" t="n">
        <x:f>AB46+G46</x:f>
        <x:v>15710.5</x:v>
      </x:c>
      <x:c r="AE46" t="str">
        <x:f>TEXT(A46,"mmm d")</x:f>
        <x:v>Jul 10</x:v>
      </x:c>
      <x:c r="AF46" s="46" t="n">
        <x:f>U46</x:f>
        <x:v>16650</x:v>
      </x:c>
      <x:c r="AG46" s="46" t="n">
        <x:f>V46</x:f>
        <x:v>18439.5</x:v>
      </x:c>
    </x:row>
    <x:row r="47" ht="22" customHeight="1">
      <x:c r="A47" s="23" t="n">
        <x:f>46579</x:f>
        <x:v>46579</x:v>
      </x:c>
      <x:c r="B47" s="24" t="str">
        <x:f>"Sunday"</x:f>
        <x:v>Sunday</x:v>
      </x:c>
      <x:c r="C47" s="26" t="n">
        <x:f>SUMIFS('Inputs'!$H$40:$H$116,'Inputs'!$F$40:$F$116,B47)*IF(MONTH(A47)=8,1-'Inputs'!$C$23,1)</x:f>
        <x:v>1463</x:v>
      </x:c>
      <x:c r="D47" s="25" t="n">
        <x:f>D46+C47</x:f>
        <x:v>32698</x:v>
      </x:c>
      <x:c r="E47" s="19" t="n">
        <x:f>ROUND(D47*'Inputs'!$C$30,0)-F46</x:f>
        <x:v>43</x:v>
      </x:c>
      <x:c r="F47" s="16" t="n">
        <x:f>F46+E47</x:f>
        <x:v>968</x:v>
      </x:c>
      <x:c r="G47" s="27" t="n">
        <x:f>E47*'Inputs'!$C$5</x:f>
        <x:v>774</x:v>
      </x:c>
      <x:c r="H47" s="27" t="n">
        <x:f>'Inputs'!$C$11*'Inputs'!$C$12</x:f>
        <x:v>176</x:v>
      </x:c>
      <x:c r="I47" s="27" t="n">
        <x:f>IF(AND(DAY(A47)=1,A47&gt;'Inputs'!$C$24),'Inputs'!$C$13,0)</x:f>
        <x:v>0</x:v>
      </x:c>
      <x:c r="J47" s="27" t="n">
        <x:f>IF(DAY(A47)=1,'Inputs'!$C$14,0)</x:f>
        <x:v>0</x:v>
      </x:c>
      <x:c r="K47" s="27" t="n">
        <x:f>IF(DAY(A47)=1,'Inputs'!$C$15,0)</x:f>
        <x:v>0</x:v>
      </x:c>
      <x:c r="L47" s="27" t="n">
        <x:f>IF(DAY(A47)=1,'Inputs'!$C$16,0)</x:f>
        <x:v>0</x:v>
      </x:c>
      <x:c r="M47" s="27" t="n">
        <x:f>0</x:f>
        <x:v>0</x:v>
      </x:c>
      <x:c r="N47" s="27" t="n">
        <x:f>0</x:f>
        <x:v>0</x:v>
      </x:c>
      <x:c r="O47" s="27" t="n">
        <x:f>0</x:f>
        <x:v>0</x:v>
      </x:c>
      <x:c r="P47" s="27" t="n">
        <x:f>0</x:f>
        <x:v>0</x:v>
      </x:c>
      <x:c r="Q47" s="19" t="n">
        <x:f>0</x:f>
        <x:v>0</x:v>
      </x:c>
      <x:c r="R47" s="27" t="n">
        <x:f>Q47*'Inputs'!$C$7</x:f>
        <x:v>0</x:v>
      </x:c>
      <x:c r="S47" s="27" t="n">
        <x:f>G47*'Inputs'!$C$10</x:f>
        <x:v>23.22</x:v>
      </x:c>
      <x:c r="T47" s="18" t="n">
        <x:f>SUM(H47:P47)+SUM(R47:S47)</x:f>
        <x:v>199.22</x:v>
      </x:c>
      <x:c r="U47" s="18" t="n">
        <x:f>U46+G47</x:f>
        <x:v>17424</x:v>
      </x:c>
      <x:c r="V47" s="18" t="n">
        <x:f>V46+T47</x:f>
        <x:v>18638.72</x:v>
      </x:c>
      <x:c r="W47" s="18" t="n">
        <x:f>U47-V47</x:f>
        <x:v>-1214.7200000000012</x:v>
      </x:c>
      <x:c r="X47" s="16" t="n">
        <x:f>X46+Q47-E47</x:f>
        <x:v>32</x:v>
      </x:c>
      <x:c r="Y47" s="27" t="n">
        <x:f>0</x:f>
        <x:v>0</x:v>
      </x:c>
      <x:c r="Z47" s="27" t="n">
        <x:f>0</x:f>
        <x:v>0</x:v>
      </x:c>
      <x:c r="AA47" s="27" t="n">
        <x:f>AC46</x:f>
        <x:v>15710.5</x:v>
      </x:c>
      <x:c r="AB47" s="18" t="n">
        <x:f>AA47-T47-Y47+Z47</x:f>
        <x:v>15511.28</x:v>
      </x:c>
      <x:c r="AC47" s="18" t="n">
        <x:f>AB47+G47</x:f>
        <x:v>16285.28</x:v>
      </x:c>
      <x:c r="AE47" t="str">
        <x:f>TEXT(A47,"mmm d")</x:f>
        <x:v>Jul 11</x:v>
      </x:c>
      <x:c r="AF47" s="46" t="n">
        <x:f>U47</x:f>
        <x:v>17424</x:v>
      </x:c>
      <x:c r="AG47" s="46" t="n">
        <x:f>V47</x:f>
        <x:v>18638.72</x:v>
      </x:c>
    </x:row>
    <x:row r="48" ht="22" customHeight="1">
      <x:c r="A48" s="23" t="n">
        <x:f>46580</x:f>
        <x:v>46580</x:v>
      </x:c>
      <x:c r="B48" s="24" t="str">
        <x:f>"Monday"</x:f>
        <x:v>Monday</x:v>
      </x:c>
      <x:c r="C48" s="26" t="n">
        <x:f>SUMIFS('Inputs'!$H$40:$H$116,'Inputs'!$F$40:$F$116,B48)*IF(MONTH(A48)=8,1-'Inputs'!$C$23,1)</x:f>
        <x:v>488</x:v>
      </x:c>
      <x:c r="D48" s="25" t="n">
        <x:f>D47+C48</x:f>
        <x:v>33186</x:v>
      </x:c>
      <x:c r="E48" s="19" t="n">
        <x:f>ROUND(D48*'Inputs'!$C$30,0)-F47</x:f>
        <x:v>15</x:v>
      </x:c>
      <x:c r="F48" s="16" t="n">
        <x:f>F47+E48</x:f>
        <x:v>983</x:v>
      </x:c>
      <x:c r="G48" s="27" t="n">
        <x:f>E48*'Inputs'!$C$5</x:f>
        <x:v>270</x:v>
      </x:c>
      <x:c r="H48" s="27" t="n">
        <x:f>'Inputs'!$C$11*'Inputs'!$C$12</x:f>
        <x:v>176</x:v>
      </x:c>
      <x:c r="I48" s="27" t="n">
        <x:f>IF(AND(DAY(A48)=1,A48&gt;'Inputs'!$C$24),'Inputs'!$C$13,0)</x:f>
        <x:v>0</x:v>
      </x:c>
      <x:c r="J48" s="27" t="n">
        <x:f>IF(DAY(A48)=1,'Inputs'!$C$14,0)</x:f>
        <x:v>0</x:v>
      </x:c>
      <x:c r="K48" s="27" t="n">
        <x:f>IF(DAY(A48)=1,'Inputs'!$C$15,0)</x:f>
        <x:v>0</x:v>
      </x:c>
      <x:c r="L48" s="27" t="n">
        <x:f>IF(DAY(A48)=1,'Inputs'!$C$16,0)</x:f>
        <x:v>0</x:v>
      </x:c>
      <x:c r="M48" s="27" t="n">
        <x:f>0</x:f>
        <x:v>0</x:v>
      </x:c>
      <x:c r="N48" s="27" t="n">
        <x:f>0</x:f>
        <x:v>0</x:v>
      </x:c>
      <x:c r="O48" s="27" t="n">
        <x:f>0</x:f>
        <x:v>0</x:v>
      </x:c>
      <x:c r="P48" s="27" t="n">
        <x:f>0</x:f>
        <x:v>0</x:v>
      </x:c>
      <x:c r="Q48" s="19" t="n">
        <x:f>0</x:f>
        <x:v>0</x:v>
      </x:c>
      <x:c r="R48" s="27" t="n">
        <x:f>Q48*'Inputs'!$C$7</x:f>
        <x:v>0</x:v>
      </x:c>
      <x:c r="S48" s="27" t="n">
        <x:f>G48*'Inputs'!$C$10</x:f>
        <x:v>8.1</x:v>
      </x:c>
      <x:c r="T48" s="18" t="n">
        <x:f>SUM(H48:P48)+SUM(R48:S48)</x:f>
        <x:v>184.1</x:v>
      </x:c>
      <x:c r="U48" s="18" t="n">
        <x:f>U47+G48</x:f>
        <x:v>17694</x:v>
      </x:c>
      <x:c r="V48" s="18" t="n">
        <x:f>V47+T48</x:f>
        <x:v>18822.82</x:v>
      </x:c>
      <x:c r="W48" s="18" t="n">
        <x:f>U48-V48</x:f>
        <x:v>-1128.8199999999997</x:v>
      </x:c>
      <x:c r="X48" s="16" t="n">
        <x:f>X47+Q48-E48</x:f>
        <x:v>17</x:v>
      </x:c>
      <x:c r="Y48" s="27" t="n">
        <x:f>0</x:f>
        <x:v>0</x:v>
      </x:c>
      <x:c r="Z48" s="27" t="n">
        <x:f>0</x:f>
        <x:v>0</x:v>
      </x:c>
      <x:c r="AA48" s="27" t="n">
        <x:f>AC47</x:f>
        <x:v>16285.28</x:v>
      </x:c>
      <x:c r="AB48" s="18" t="n">
        <x:f>AA48-T48-Y48+Z48</x:f>
        <x:v>16101.18</x:v>
      </x:c>
      <x:c r="AC48" s="18" t="n">
        <x:f>AB48+G48</x:f>
        <x:v>16371.18</x:v>
      </x:c>
      <x:c r="AE48" t="str">
        <x:f>TEXT(A48,"mmm d")</x:f>
        <x:v>Jul 12</x:v>
      </x:c>
      <x:c r="AF48" s="46" t="n">
        <x:f>U48</x:f>
        <x:v>17694</x:v>
      </x:c>
      <x:c r="AG48" s="46" t="n">
        <x:f>V48</x:f>
        <x:v>18822.82</x:v>
      </x:c>
    </x:row>
    <x:row r="49" ht="22" customHeight="1">
      <x:c r="A49" s="23" t="n">
        <x:f>46581</x:f>
        <x:v>46581</x:v>
      </x:c>
      <x:c r="B49" s="24" t="str">
        <x:f>"Tuesday"</x:f>
        <x:v>Tuesday</x:v>
      </x:c>
      <x:c r="C49" s="26" t="n">
        <x:f>SUMIFS('Inputs'!$H$40:$H$116,'Inputs'!$F$40:$F$116,B49)*IF(MONTH(A49)=8,1-'Inputs'!$C$23,1)</x:f>
        <x:v>510</x:v>
      </x:c>
      <x:c r="D49" s="25" t="n">
        <x:f>D48+C49</x:f>
        <x:v>33696</x:v>
      </x:c>
      <x:c r="E49" s="19" t="n">
        <x:f>ROUND(D49*'Inputs'!$C$30,0)-F48</x:f>
        <x:v>15</x:v>
      </x:c>
      <x:c r="F49" s="16" t="n">
        <x:f>F48+E49</x:f>
        <x:v>998</x:v>
      </x:c>
      <x:c r="G49" s="27" t="n">
        <x:f>E49*'Inputs'!$C$5</x:f>
        <x:v>270</x:v>
      </x:c>
      <x:c r="H49" s="27" t="n">
        <x:f>'Inputs'!$C$11*'Inputs'!$C$12</x:f>
        <x:v>176</x:v>
      </x:c>
      <x:c r="I49" s="27" t="n">
        <x:f>IF(AND(DAY(A49)=1,A49&gt;'Inputs'!$C$24),'Inputs'!$C$13,0)</x:f>
        <x:v>0</x:v>
      </x:c>
      <x:c r="J49" s="27" t="n">
        <x:f>IF(DAY(A49)=1,'Inputs'!$C$14,0)</x:f>
        <x:v>0</x:v>
      </x:c>
      <x:c r="K49" s="27" t="n">
        <x:f>IF(DAY(A49)=1,'Inputs'!$C$15,0)</x:f>
        <x:v>0</x:v>
      </x:c>
      <x:c r="L49" s="27" t="n">
        <x:f>IF(DAY(A49)=1,'Inputs'!$C$16,0)</x:f>
        <x:v>0</x:v>
      </x:c>
      <x:c r="M49" s="27" t="n">
        <x:f>0</x:f>
        <x:v>0</x:v>
      </x:c>
      <x:c r="N49" s="27" t="n">
        <x:f>0</x:f>
        <x:v>0</x:v>
      </x:c>
      <x:c r="O49" s="27" t="n">
        <x:f>0</x:f>
        <x:v>0</x:v>
      </x:c>
      <x:c r="P49" s="27" t="n">
        <x:f>0</x:f>
        <x:v>0</x:v>
      </x:c>
      <x:c r="Q49" s="19" t="n">
        <x:f>ROUNDUP(MAX(0,SUM(E49:E55)-X48)/'Inputs'!$C$8,0)*'Inputs'!$C$8</x:f>
        <x:v>150</x:v>
      </x:c>
      <x:c r="R49" s="27" t="n">
        <x:f>Q49*'Inputs'!$C$7</x:f>
        <x:v>600</x:v>
      </x:c>
      <x:c r="S49" s="27" t="n">
        <x:f>G49*'Inputs'!$C$10</x:f>
        <x:v>8.1</x:v>
      </x:c>
      <x:c r="T49" s="18" t="n">
        <x:f>SUM(H49:P49)+SUM(R49:S49)</x:f>
        <x:v>784.1</x:v>
      </x:c>
      <x:c r="U49" s="18" t="n">
        <x:f>U48+G49</x:f>
        <x:v>17964</x:v>
      </x:c>
      <x:c r="V49" s="18" t="n">
        <x:f>V48+T49</x:f>
        <x:v>19606.92</x:v>
      </x:c>
      <x:c r="W49" s="18" t="n">
        <x:f>U49-V49</x:f>
        <x:v>-1642.9199999999983</x:v>
      </x:c>
      <x:c r="X49" s="16" t="n">
        <x:f>X48+Q49-E49</x:f>
        <x:v>152</x:v>
      </x:c>
      <x:c r="Y49" s="27" t="n">
        <x:f>0</x:f>
        <x:v>0</x:v>
      </x:c>
      <x:c r="Z49" s="27" t="n">
        <x:f>0</x:f>
        <x:v>0</x:v>
      </x:c>
      <x:c r="AA49" s="27" t="n">
        <x:f>AC48</x:f>
        <x:v>16371.18</x:v>
      </x:c>
      <x:c r="AB49" s="18" t="n">
        <x:f>AA49-T49-Y49+Z49</x:f>
        <x:v>15587.08</x:v>
      </x:c>
      <x:c r="AC49" s="18" t="n">
        <x:f>AB49+G49</x:f>
        <x:v>15857.08</x:v>
      </x:c>
      <x:c r="AE49" t="str">
        <x:f>TEXT(A49,"mmm d")</x:f>
        <x:v>Jul 13</x:v>
      </x:c>
      <x:c r="AF49" s="46" t="n">
        <x:f>U49</x:f>
        <x:v>17964</x:v>
      </x:c>
      <x:c r="AG49" s="46" t="n">
        <x:f>V49</x:f>
        <x:v>19606.92</x:v>
      </x:c>
    </x:row>
    <x:row r="50" ht="22" customHeight="1">
      <x:c r="A50" s="23" t="n">
        <x:f>46582</x:f>
        <x:v>46582</x:v>
      </x:c>
      <x:c r="B50" s="24" t="str">
        <x:f>"Wednesday"</x:f>
        <x:v>Wednesday</x:v>
      </x:c>
      <x:c r="C50" s="26" t="n">
        <x:f>SUMIFS('Inputs'!$H$40:$H$116,'Inputs'!$F$40:$F$116,B50)*IF(MONTH(A50)=8,1-'Inputs'!$C$23,1)</x:f>
        <x:v>488</x:v>
      </x:c>
      <x:c r="D50" s="25" t="n">
        <x:f>D49+C50</x:f>
        <x:v>34184</x:v>
      </x:c>
      <x:c r="E50" s="19" t="n">
        <x:f>ROUND(D50*'Inputs'!$C$30,0)-F49</x:f>
        <x:v>14</x:v>
      </x:c>
      <x:c r="F50" s="16" t="n">
        <x:f>F49+E50</x:f>
        <x:v>1012</x:v>
      </x:c>
      <x:c r="G50" s="27" t="n">
        <x:f>E50*'Inputs'!$C$5</x:f>
        <x:v>252</x:v>
      </x:c>
      <x:c r="H50" s="27" t="n">
        <x:f>'Inputs'!$C$11*'Inputs'!$C$12</x:f>
        <x:v>176</x:v>
      </x:c>
      <x:c r="I50" s="27" t="n">
        <x:f>IF(AND(DAY(A50)=1,A50&gt;'Inputs'!$C$24),'Inputs'!$C$13,0)</x:f>
        <x:v>0</x:v>
      </x:c>
      <x:c r="J50" s="27" t="n">
        <x:f>IF(DAY(A50)=1,'Inputs'!$C$14,0)</x:f>
        <x:v>0</x:v>
      </x:c>
      <x:c r="K50" s="27" t="n">
        <x:f>IF(DAY(A50)=1,'Inputs'!$C$15,0)</x:f>
        <x:v>0</x:v>
      </x:c>
      <x:c r="L50" s="27" t="n">
        <x:f>IF(DAY(A50)=1,'Inputs'!$C$16,0)</x:f>
        <x:v>0</x:v>
      </x:c>
      <x:c r="M50" s="27" t="n">
        <x:f>0</x:f>
        <x:v>0</x:v>
      </x:c>
      <x:c r="N50" s="27" t="n">
        <x:f>0</x:f>
        <x:v>0</x:v>
      </x:c>
      <x:c r="O50" s="27" t="n">
        <x:f>0</x:f>
        <x:v>0</x:v>
      </x:c>
      <x:c r="P50" s="27" t="n">
        <x:f>0</x:f>
        <x:v>0</x:v>
      </x:c>
      <x:c r="Q50" s="19" t="n">
        <x:f>0</x:f>
        <x:v>0</x:v>
      </x:c>
      <x:c r="R50" s="27" t="n">
        <x:f>Q50*'Inputs'!$C$7</x:f>
        <x:v>0</x:v>
      </x:c>
      <x:c r="S50" s="27" t="n">
        <x:f>G50*'Inputs'!$C$10</x:f>
        <x:v>7.56</x:v>
      </x:c>
      <x:c r="T50" s="18" t="n">
        <x:f>SUM(H50:P50)+SUM(R50:S50)</x:f>
        <x:v>183.56</x:v>
      </x:c>
      <x:c r="U50" s="18" t="n">
        <x:f>U49+G50</x:f>
        <x:v>18216</x:v>
      </x:c>
      <x:c r="V50" s="18" t="n">
        <x:f>V49+T50</x:f>
        <x:v>19790.48</x:v>
      </x:c>
      <x:c r="W50" s="18" t="n">
        <x:f>U50-V50</x:f>
        <x:v>-1574.4799999999996</x:v>
      </x:c>
      <x:c r="X50" s="16" t="n">
        <x:f>X49+Q50-E50</x:f>
        <x:v>138</x:v>
      </x:c>
      <x:c r="Y50" s="27" t="n">
        <x:f>0</x:f>
        <x:v>0</x:v>
      </x:c>
      <x:c r="Z50" s="27" t="n">
        <x:f>0</x:f>
        <x:v>0</x:v>
      </x:c>
      <x:c r="AA50" s="27" t="n">
        <x:f>AC49</x:f>
        <x:v>15857.08</x:v>
      </x:c>
      <x:c r="AB50" s="18" t="n">
        <x:f>AA50-T50-Y50+Z50</x:f>
        <x:v>15673.52</x:v>
      </x:c>
      <x:c r="AC50" s="18" t="n">
        <x:f>AB50+G50</x:f>
        <x:v>15925.52</x:v>
      </x:c>
      <x:c r="AE50" t="str">
        <x:f>TEXT(A50,"mmm d")</x:f>
        <x:v>Jul 14</x:v>
      </x:c>
      <x:c r="AF50" s="46" t="n">
        <x:f>U50</x:f>
        <x:v>18216</x:v>
      </x:c>
      <x:c r="AG50" s="46" t="n">
        <x:f>V50</x:f>
        <x:v>19790.48</x:v>
      </x:c>
    </x:row>
    <x:row r="51" ht="22" customHeight="1">
      <x:c r="A51" s="23" t="n">
        <x:f>46583</x:f>
        <x:v>46583</x:v>
      </x:c>
      <x:c r="B51" s="24" t="str">
        <x:f>"Thursday"</x:f>
        <x:v>Thursday</x:v>
      </x:c>
      <x:c r="C51" s="26" t="n">
        <x:f>SUMIFS('Inputs'!$H$40:$H$116,'Inputs'!$F$40:$F$116,B51)*IF(MONTH(A51)=8,1-'Inputs'!$C$23,1)</x:f>
        <x:v>488</x:v>
      </x:c>
      <x:c r="D51" s="25" t="n">
        <x:f>D50+C51</x:f>
        <x:v>34672</x:v>
      </x:c>
      <x:c r="E51" s="19" t="n">
        <x:f>ROUND(D51*'Inputs'!$C$30,0)-F50</x:f>
        <x:v>15</x:v>
      </x:c>
      <x:c r="F51" s="16" t="n">
        <x:f>F50+E51</x:f>
        <x:v>1027</x:v>
      </x:c>
      <x:c r="G51" s="27" t="n">
        <x:f>E51*'Inputs'!$C$5</x:f>
        <x:v>270</x:v>
      </x:c>
      <x:c r="H51" s="27" t="n">
        <x:f>'Inputs'!$C$11*'Inputs'!$C$12</x:f>
        <x:v>176</x:v>
      </x:c>
      <x:c r="I51" s="27" t="n">
        <x:f>IF(AND(DAY(A51)=1,A51&gt;'Inputs'!$C$24),'Inputs'!$C$13,0)</x:f>
        <x:v>0</x:v>
      </x:c>
      <x:c r="J51" s="27" t="n">
        <x:f>IF(DAY(A51)=1,'Inputs'!$C$14,0)</x:f>
        <x:v>0</x:v>
      </x:c>
      <x:c r="K51" s="27" t="n">
        <x:f>IF(DAY(A51)=1,'Inputs'!$C$15,0)</x:f>
        <x:v>0</x:v>
      </x:c>
      <x:c r="L51" s="27" t="n">
        <x:f>IF(DAY(A51)=1,'Inputs'!$C$16,0)</x:f>
        <x:v>0</x:v>
      </x:c>
      <x:c r="M51" s="27" t="n">
        <x:f>0</x:f>
        <x:v>0</x:v>
      </x:c>
      <x:c r="N51" s="27" t="n">
        <x:f>0</x:f>
        <x:v>0</x:v>
      </x:c>
      <x:c r="O51" s="27" t="n">
        <x:f>0</x:f>
        <x:v>0</x:v>
      </x:c>
      <x:c r="P51" s="27" t="n">
        <x:f>0</x:f>
        <x:v>0</x:v>
      </x:c>
      <x:c r="Q51" s="19" t="n">
        <x:f>0</x:f>
        <x:v>0</x:v>
      </x:c>
      <x:c r="R51" s="27" t="n">
        <x:f>Q51*'Inputs'!$C$7</x:f>
        <x:v>0</x:v>
      </x:c>
      <x:c r="S51" s="27" t="n">
        <x:f>G51*'Inputs'!$C$10</x:f>
        <x:v>8.1</x:v>
      </x:c>
      <x:c r="T51" s="18" t="n">
        <x:f>SUM(H51:P51)+SUM(R51:S51)</x:f>
        <x:v>184.1</x:v>
      </x:c>
      <x:c r="U51" s="18" t="n">
        <x:f>U50+G51</x:f>
        <x:v>18486</x:v>
      </x:c>
      <x:c r="V51" s="18" t="n">
        <x:f>V50+T51</x:f>
        <x:v>19974.579999999998</x:v>
      </x:c>
      <x:c r="W51" s="18" t="n">
        <x:f>U51-V51</x:f>
        <x:v>-1488.579999999998</x:v>
      </x:c>
      <x:c r="X51" s="16" t="n">
        <x:f>X50+Q51-E51</x:f>
        <x:v>123</x:v>
      </x:c>
      <x:c r="Y51" s="27" t="n">
        <x:f>0</x:f>
        <x:v>0</x:v>
      </x:c>
      <x:c r="Z51" s="27" t="n">
        <x:f>0</x:f>
        <x:v>0</x:v>
      </x:c>
      <x:c r="AA51" s="27" t="n">
        <x:f>AC50</x:f>
        <x:v>15925.52</x:v>
      </x:c>
      <x:c r="AB51" s="18" t="n">
        <x:f>AA51-T51-Y51+Z51</x:f>
        <x:v>15741.42</x:v>
      </x:c>
      <x:c r="AC51" s="18" t="n">
        <x:f>AB51+G51</x:f>
        <x:v>16011.42</x:v>
      </x:c>
      <x:c r="AE51" t="str">
        <x:f>TEXT(A51,"mmm d")</x:f>
        <x:v>Jul 15</x:v>
      </x:c>
      <x:c r="AF51" s="46" t="n">
        <x:f>U51</x:f>
        <x:v>18486</x:v>
      </x:c>
      <x:c r="AG51" s="46" t="n">
        <x:f>V51</x:f>
        <x:v>19974.579999999998</x:v>
      </x:c>
    </x:row>
    <x:row r="52" ht="22" customHeight="1">
      <x:c r="A52" s="23" t="n">
        <x:f>46584</x:f>
        <x:v>46584</x:v>
      </x:c>
      <x:c r="B52" s="24" t="str">
        <x:f>"Friday"</x:f>
        <x:v>Friday</x:v>
      </x:c>
      <x:c r="C52" s="26" t="n">
        <x:f>SUMIFS('Inputs'!$H$40:$H$116,'Inputs'!$F$40:$F$116,B52)*IF(MONTH(A52)=8,1-'Inputs'!$C$23,1)</x:f>
        <x:v>565</x:v>
      </x:c>
      <x:c r="D52" s="25" t="n">
        <x:f>D51+C52</x:f>
        <x:v>35237</x:v>
      </x:c>
      <x:c r="E52" s="19" t="n">
        <x:f>ROUND(D52*'Inputs'!$C$30,0)-F51</x:f>
        <x:v>16</x:v>
      </x:c>
      <x:c r="F52" s="16" t="n">
        <x:f>F51+E52</x:f>
        <x:v>1043</x:v>
      </x:c>
      <x:c r="G52" s="27" t="n">
        <x:f>E52*'Inputs'!$C$5</x:f>
        <x:v>288</x:v>
      </x:c>
      <x:c r="H52" s="27" t="n">
        <x:f>'Inputs'!$C$11*'Inputs'!$C$12</x:f>
        <x:v>176</x:v>
      </x:c>
      <x:c r="I52" s="27" t="n">
        <x:f>IF(AND(DAY(A52)=1,A52&gt;'Inputs'!$C$24),'Inputs'!$C$13,0)</x:f>
        <x:v>0</x:v>
      </x:c>
      <x:c r="J52" s="27" t="n">
        <x:f>IF(DAY(A52)=1,'Inputs'!$C$14,0)</x:f>
        <x:v>0</x:v>
      </x:c>
      <x:c r="K52" s="27" t="n">
        <x:f>IF(DAY(A52)=1,'Inputs'!$C$15,0)</x:f>
        <x:v>0</x:v>
      </x:c>
      <x:c r="L52" s="27" t="n">
        <x:f>IF(DAY(A52)=1,'Inputs'!$C$16,0)</x:f>
        <x:v>0</x:v>
      </x:c>
      <x:c r="M52" s="27" t="n">
        <x:f>0</x:f>
        <x:v>0</x:v>
      </x:c>
      <x:c r="N52" s="27" t="n">
        <x:f>0</x:f>
        <x:v>0</x:v>
      </x:c>
      <x:c r="O52" s="27" t="n">
        <x:f>0</x:f>
        <x:v>0</x:v>
      </x:c>
      <x:c r="P52" s="27" t="n">
        <x:f>0</x:f>
        <x:v>0</x:v>
      </x:c>
      <x:c r="Q52" s="19" t="n">
        <x:f>0</x:f>
        <x:v>0</x:v>
      </x:c>
      <x:c r="R52" s="27" t="n">
        <x:f>Q52*'Inputs'!$C$7</x:f>
        <x:v>0</x:v>
      </x:c>
      <x:c r="S52" s="27" t="n">
        <x:f>G52*'Inputs'!$C$10</x:f>
        <x:v>8.64</x:v>
      </x:c>
      <x:c r="T52" s="18" t="n">
        <x:f>SUM(H52:P52)+SUM(R52:S52)</x:f>
        <x:v>184.64</x:v>
      </x:c>
      <x:c r="U52" s="18" t="n">
        <x:f>U51+G52</x:f>
        <x:v>18774</x:v>
      </x:c>
      <x:c r="V52" s="18" t="n">
        <x:f>V51+T52</x:f>
        <x:v>20159.219999999998</x:v>
      </x:c>
      <x:c r="W52" s="18" t="n">
        <x:f>U52-V52</x:f>
        <x:v>-1385.2199999999975</x:v>
      </x:c>
      <x:c r="X52" s="16" t="n">
        <x:f>X51+Q52-E52</x:f>
        <x:v>107</x:v>
      </x:c>
      <x:c r="Y52" s="27" t="n">
        <x:f>0</x:f>
        <x:v>0</x:v>
      </x:c>
      <x:c r="Z52" s="27" t="n">
        <x:f>0</x:f>
        <x:v>0</x:v>
      </x:c>
      <x:c r="AA52" s="27" t="n">
        <x:f>AC51</x:f>
        <x:v>16011.42</x:v>
      </x:c>
      <x:c r="AB52" s="18" t="n">
        <x:f>AA52-T52-Y52+Z52</x:f>
        <x:v>15826.78</x:v>
      </x:c>
      <x:c r="AC52" s="18" t="n">
        <x:f>AB52+G52</x:f>
        <x:v>16114.78</x:v>
      </x:c>
      <x:c r="AE52" t="str">
        <x:f>TEXT(A52,"mmm d")</x:f>
        <x:v>Jul 16</x:v>
      </x:c>
      <x:c r="AF52" s="46" t="n">
        <x:f>U52</x:f>
        <x:v>18774</x:v>
      </x:c>
      <x:c r="AG52" s="46" t="n">
        <x:f>V52</x:f>
        <x:v>20159.219999999998</x:v>
      </x:c>
    </x:row>
    <x:row r="53" ht="22" customHeight="1">
      <x:c r="A53" s="23" t="n">
        <x:f>46585</x:f>
        <x:v>46585</x:v>
      </x:c>
      <x:c r="B53" s="24" t="str">
        <x:f>"Saturday"</x:f>
        <x:v>Saturday</x:v>
      </x:c>
      <x:c r="C53" s="26" t="n">
        <x:f>SUMIFS('Inputs'!$H$40:$H$116,'Inputs'!$F$40:$F$116,B53)*IF(MONTH(A53)=8,1-'Inputs'!$C$23,1)</x:f>
        <x:v>1529</x:v>
      </x:c>
      <x:c r="D53" s="25" t="n">
        <x:f>D52+C53</x:f>
        <x:v>36766</x:v>
      </x:c>
      <x:c r="E53" s="19" t="n">
        <x:f>ROUND(D53*'Inputs'!$C$30,0)-F52</x:f>
        <x:v>46</x:v>
      </x:c>
      <x:c r="F53" s="16" t="n">
        <x:f>F52+E53</x:f>
        <x:v>1089</x:v>
      </x:c>
      <x:c r="G53" s="27" t="n">
        <x:f>E53*'Inputs'!$C$5</x:f>
        <x:v>828</x:v>
      </x:c>
      <x:c r="H53" s="27" t="n">
        <x:f>'Inputs'!$C$11*'Inputs'!$C$12</x:f>
        <x:v>176</x:v>
      </x:c>
      <x:c r="I53" s="27" t="n">
        <x:f>IF(AND(DAY(A53)=1,A53&gt;'Inputs'!$C$24),'Inputs'!$C$13,0)</x:f>
        <x:v>0</x:v>
      </x:c>
      <x:c r="J53" s="27" t="n">
        <x:f>IF(DAY(A53)=1,'Inputs'!$C$14,0)</x:f>
        <x:v>0</x:v>
      </x:c>
      <x:c r="K53" s="27" t="n">
        <x:f>IF(DAY(A53)=1,'Inputs'!$C$15,0)</x:f>
        <x:v>0</x:v>
      </x:c>
      <x:c r="L53" s="27" t="n">
        <x:f>IF(DAY(A53)=1,'Inputs'!$C$16,0)</x:f>
        <x:v>0</x:v>
      </x:c>
      <x:c r="M53" s="27" t="n">
        <x:f>0</x:f>
        <x:v>0</x:v>
      </x:c>
      <x:c r="N53" s="27" t="n">
        <x:f>0</x:f>
        <x:v>0</x:v>
      </x:c>
      <x:c r="O53" s="27" t="n">
        <x:f>0</x:f>
        <x:v>0</x:v>
      </x:c>
      <x:c r="P53" s="27" t="n">
        <x:f>0</x:f>
        <x:v>0</x:v>
      </x:c>
      <x:c r="Q53" s="19" t="n">
        <x:f>0</x:f>
        <x:v>0</x:v>
      </x:c>
      <x:c r="R53" s="27" t="n">
        <x:f>Q53*'Inputs'!$C$7</x:f>
        <x:v>0</x:v>
      </x:c>
      <x:c r="S53" s="27" t="n">
        <x:f>G53*'Inputs'!$C$10</x:f>
        <x:v>24.84</x:v>
      </x:c>
      <x:c r="T53" s="18" t="n">
        <x:f>SUM(H53:P53)+SUM(R53:S53)</x:f>
        <x:v>200.84</x:v>
      </x:c>
      <x:c r="U53" s="18" t="n">
        <x:f>U52+G53</x:f>
        <x:v>19602</x:v>
      </x:c>
      <x:c r="V53" s="18" t="n">
        <x:f>V52+T53</x:f>
        <x:v>20360.059999999998</x:v>
      </x:c>
      <x:c r="W53" s="18" t="n">
        <x:f>U53-V53</x:f>
        <x:v>-758.0599999999977</x:v>
      </x:c>
      <x:c r="X53" s="16" t="n">
        <x:f>X52+Q53-E53</x:f>
        <x:v>61</x:v>
      </x:c>
      <x:c r="Y53" s="27" t="n">
        <x:f>0</x:f>
        <x:v>0</x:v>
      </x:c>
      <x:c r="Z53" s="27" t="n">
        <x:f>0</x:f>
        <x:v>0</x:v>
      </x:c>
      <x:c r="AA53" s="27" t="n">
        <x:f>AC52</x:f>
        <x:v>16114.78</x:v>
      </x:c>
      <x:c r="AB53" s="18" t="n">
        <x:f>AA53-T53-Y53+Z53</x:f>
        <x:v>15913.94</x:v>
      </x:c>
      <x:c r="AC53" s="18" t="n">
        <x:f>AB53+G53</x:f>
        <x:v>16741.940000000002</x:v>
      </x:c>
      <x:c r="AE53" t="str">
        <x:f>TEXT(A53,"mmm d")</x:f>
        <x:v>Jul 17</x:v>
      </x:c>
      <x:c r="AF53" s="46" t="n">
        <x:f>U53</x:f>
        <x:v>19602</x:v>
      </x:c>
      <x:c r="AG53" s="46" t="n">
        <x:f>V53</x:f>
        <x:v>20360.059999999998</x:v>
      </x:c>
    </x:row>
    <x:row r="54" ht="22" customHeight="1">
      <x:c r="A54" s="23" t="n">
        <x:f>46586</x:f>
        <x:v>46586</x:v>
      </x:c>
      <x:c r="B54" s="24" t="str">
        <x:f>"Sunday"</x:f>
        <x:v>Sunday</x:v>
      </x:c>
      <x:c r="C54" s="26" t="n">
        <x:f>SUMIFS('Inputs'!$H$40:$H$116,'Inputs'!$F$40:$F$116,B54)*IF(MONTH(A54)=8,1-'Inputs'!$C$23,1)</x:f>
        <x:v>1463</x:v>
      </x:c>
      <x:c r="D54" s="25" t="n">
        <x:f>D53+C54</x:f>
        <x:v>38229</x:v>
      </x:c>
      <x:c r="E54" s="19" t="n">
        <x:f>ROUND(D54*'Inputs'!$C$30,0)-F53</x:f>
        <x:v>43</x:v>
      </x:c>
      <x:c r="F54" s="16" t="n">
        <x:f>F53+E54</x:f>
        <x:v>1132</x:v>
      </x:c>
      <x:c r="G54" s="27" t="n">
        <x:f>E54*'Inputs'!$C$5</x:f>
        <x:v>774</x:v>
      </x:c>
      <x:c r="H54" s="27" t="n">
        <x:f>'Inputs'!$C$11*'Inputs'!$C$12</x:f>
        <x:v>176</x:v>
      </x:c>
      <x:c r="I54" s="27" t="n">
        <x:f>IF(AND(DAY(A54)=1,A54&gt;'Inputs'!$C$24),'Inputs'!$C$13,0)</x:f>
        <x:v>0</x:v>
      </x:c>
      <x:c r="J54" s="27" t="n">
        <x:f>IF(DAY(A54)=1,'Inputs'!$C$14,0)</x:f>
        <x:v>0</x:v>
      </x:c>
      <x:c r="K54" s="27" t="n">
        <x:f>IF(DAY(A54)=1,'Inputs'!$C$15,0)</x:f>
        <x:v>0</x:v>
      </x:c>
      <x:c r="L54" s="27" t="n">
        <x:f>IF(DAY(A54)=1,'Inputs'!$C$16,0)</x:f>
        <x:v>0</x:v>
      </x:c>
      <x:c r="M54" s="27" t="n">
        <x:f>0</x:f>
        <x:v>0</x:v>
      </x:c>
      <x:c r="N54" s="27" t="n">
        <x:f>0</x:f>
        <x:v>0</x:v>
      </x:c>
      <x:c r="O54" s="27" t="n">
        <x:f>0</x:f>
        <x:v>0</x:v>
      </x:c>
      <x:c r="P54" s="27" t="n">
        <x:f>0</x:f>
        <x:v>0</x:v>
      </x:c>
      <x:c r="Q54" s="19" t="n">
        <x:f>0</x:f>
        <x:v>0</x:v>
      </x:c>
      <x:c r="R54" s="27" t="n">
        <x:f>Q54*'Inputs'!$C$7</x:f>
        <x:v>0</x:v>
      </x:c>
      <x:c r="S54" s="27" t="n">
        <x:f>G54*'Inputs'!$C$10</x:f>
        <x:v>23.22</x:v>
      </x:c>
      <x:c r="T54" s="18" t="n">
        <x:f>SUM(H54:P54)+SUM(R54:S54)</x:f>
        <x:v>199.22</x:v>
      </x:c>
      <x:c r="U54" s="18" t="n">
        <x:f>U53+G54</x:f>
        <x:v>20376</x:v>
      </x:c>
      <x:c r="V54" s="18" t="n">
        <x:f>V53+T54</x:f>
        <x:v>20559.28</x:v>
      </x:c>
      <x:c r="W54" s="18" t="n">
        <x:f>U54-V54</x:f>
        <x:v>-183.27999999999884</x:v>
      </x:c>
      <x:c r="X54" s="16" t="n">
        <x:f>X53+Q54-E54</x:f>
        <x:v>18</x:v>
      </x:c>
      <x:c r="Y54" s="27" t="n">
        <x:f>0</x:f>
        <x:v>0</x:v>
      </x:c>
      <x:c r="Z54" s="27" t="n">
        <x:f>0</x:f>
        <x:v>0</x:v>
      </x:c>
      <x:c r="AA54" s="27" t="n">
        <x:f>AC53</x:f>
        <x:v>16741.940000000002</x:v>
      </x:c>
      <x:c r="AB54" s="18" t="n">
        <x:f>AA54-T54-Y54+Z54</x:f>
        <x:v>16542.72</x:v>
      </x:c>
      <x:c r="AC54" s="18" t="n">
        <x:f>AB54+G54</x:f>
        <x:v>17316.72</x:v>
      </x:c>
      <x:c r="AE54" t="str">
        <x:f>TEXT(A54,"mmm d")</x:f>
        <x:v>Jul 18</x:v>
      </x:c>
      <x:c r="AF54" s="46" t="n">
        <x:f>U54</x:f>
        <x:v>20376</x:v>
      </x:c>
      <x:c r="AG54" s="46" t="n">
        <x:f>V54</x:f>
        <x:v>20559.28</x:v>
      </x:c>
    </x:row>
    <x:row r="55" ht="22" customHeight="1">
      <x:c r="A55" s="23" t="n">
        <x:f>46587</x:f>
        <x:v>46587</x:v>
      </x:c>
      <x:c r="B55" s="24" t="str">
        <x:f>"Monday"</x:f>
        <x:v>Monday</x:v>
      </x:c>
      <x:c r="C55" s="26" t="n">
        <x:f>SUMIFS('Inputs'!$H$40:$H$116,'Inputs'!$F$40:$F$116,B55)*IF(MONTH(A55)=8,1-'Inputs'!$C$23,1)</x:f>
        <x:v>488</x:v>
      </x:c>
      <x:c r="D55" s="25" t="n">
        <x:f>D54+C55</x:f>
        <x:v>38717</x:v>
      </x:c>
      <x:c r="E55" s="19" t="n">
        <x:f>ROUND(D55*'Inputs'!$C$30,0)-F54</x:f>
        <x:v>15</x:v>
      </x:c>
      <x:c r="F55" s="16" t="n">
        <x:f>F54+E55</x:f>
        <x:v>1147</x:v>
      </x:c>
      <x:c r="G55" s="27" t="n">
        <x:f>E55*'Inputs'!$C$5</x:f>
        <x:v>270</x:v>
      </x:c>
      <x:c r="H55" s="27" t="n">
        <x:f>'Inputs'!$C$11*'Inputs'!$C$12</x:f>
        <x:v>176</x:v>
      </x:c>
      <x:c r="I55" s="27" t="n">
        <x:f>IF(AND(DAY(A55)=1,A55&gt;'Inputs'!$C$24),'Inputs'!$C$13,0)</x:f>
        <x:v>0</x:v>
      </x:c>
      <x:c r="J55" s="27" t="n">
        <x:f>IF(DAY(A55)=1,'Inputs'!$C$14,0)</x:f>
        <x:v>0</x:v>
      </x:c>
      <x:c r="K55" s="27" t="n">
        <x:f>IF(DAY(A55)=1,'Inputs'!$C$15,0)</x:f>
        <x:v>0</x:v>
      </x:c>
      <x:c r="L55" s="27" t="n">
        <x:f>IF(DAY(A55)=1,'Inputs'!$C$16,0)</x:f>
        <x:v>0</x:v>
      </x:c>
      <x:c r="M55" s="27" t="n">
        <x:f>0</x:f>
        <x:v>0</x:v>
      </x:c>
      <x:c r="N55" s="27" t="n">
        <x:f>0</x:f>
        <x:v>0</x:v>
      </x:c>
      <x:c r="O55" s="27" t="n">
        <x:f>0</x:f>
        <x:v>0</x:v>
      </x:c>
      <x:c r="P55" s="27" t="n">
        <x:f>0</x:f>
        <x:v>0</x:v>
      </x:c>
      <x:c r="Q55" s="19" t="n">
        <x:f>0</x:f>
        <x:v>0</x:v>
      </x:c>
      <x:c r="R55" s="27" t="n">
        <x:f>Q55*'Inputs'!$C$7</x:f>
        <x:v>0</x:v>
      </x:c>
      <x:c r="S55" s="27" t="n">
        <x:f>G55*'Inputs'!$C$10</x:f>
        <x:v>8.1</x:v>
      </x:c>
      <x:c r="T55" s="18" t="n">
        <x:f>SUM(H55:P55)+SUM(R55:S55)</x:f>
        <x:v>184.1</x:v>
      </x:c>
      <x:c r="U55" s="18" t="n">
        <x:f>U54+G55</x:f>
        <x:v>20646</x:v>
      </x:c>
      <x:c r="V55" s="18" t="n">
        <x:f>V54+T55</x:f>
        <x:v>20743.379999999997</x:v>
      </x:c>
      <x:c r="W55" s="18" t="n">
        <x:f>U55-V55</x:f>
        <x:v>-97.37999999999738</x:v>
      </x:c>
      <x:c r="X55" s="16" t="n">
        <x:f>X54+Q55-E55</x:f>
        <x:v>3</x:v>
      </x:c>
      <x:c r="Y55" s="27" t="n">
        <x:f>0</x:f>
        <x:v>0</x:v>
      </x:c>
      <x:c r="Z55" s="27" t="n">
        <x:f>0</x:f>
        <x:v>0</x:v>
      </x:c>
      <x:c r="AA55" s="27" t="n">
        <x:f>AC54</x:f>
        <x:v>17316.72</x:v>
      </x:c>
      <x:c r="AB55" s="18" t="n">
        <x:f>AA55-T55-Y55+Z55</x:f>
        <x:v>17132.620000000003</x:v>
      </x:c>
      <x:c r="AC55" s="18" t="n">
        <x:f>AB55+G55</x:f>
        <x:v>17402.620000000003</x:v>
      </x:c>
      <x:c r="AE55" t="str">
        <x:f>TEXT(A55,"mmm d")</x:f>
        <x:v>Jul 19</x:v>
      </x:c>
      <x:c r="AF55" s="46" t="n">
        <x:f>U55</x:f>
        <x:v>20646</x:v>
      </x:c>
      <x:c r="AG55" s="46" t="n">
        <x:f>V55</x:f>
        <x:v>20743.379999999997</x:v>
      </x:c>
    </x:row>
    <x:row r="56" ht="22" customHeight="1">
      <x:c r="A56" s="23" t="n">
        <x:f>46588</x:f>
        <x:v>46588</x:v>
      </x:c>
      <x:c r="B56" s="24" t="str">
        <x:f>"Tuesday"</x:f>
        <x:v>Tuesday</x:v>
      </x:c>
      <x:c r="C56" s="26" t="n">
        <x:f>SUMIFS('Inputs'!$H$40:$H$116,'Inputs'!$F$40:$F$116,B56)*IF(MONTH(A56)=8,1-'Inputs'!$C$23,1)</x:f>
        <x:v>510</x:v>
      </x:c>
      <x:c r="D56" s="25" t="n">
        <x:f>D55+C56</x:f>
        <x:v>39227</x:v>
      </x:c>
      <x:c r="E56" s="19" t="n">
        <x:f>ROUND(D56*'Inputs'!$C$30,0)-F55</x:f>
        <x:v>15</x:v>
      </x:c>
      <x:c r="F56" s="16" t="n">
        <x:f>F55+E56</x:f>
        <x:v>1162</x:v>
      </x:c>
      <x:c r="G56" s="27" t="n">
        <x:f>E56*'Inputs'!$C$5</x:f>
        <x:v>270</x:v>
      </x:c>
      <x:c r="H56" s="27" t="n">
        <x:f>'Inputs'!$C$11*'Inputs'!$C$12</x:f>
        <x:v>176</x:v>
      </x:c>
      <x:c r="I56" s="27" t="n">
        <x:f>IF(AND(DAY(A56)=1,A56&gt;'Inputs'!$C$24),'Inputs'!$C$13,0)</x:f>
        <x:v>0</x:v>
      </x:c>
      <x:c r="J56" s="27" t="n">
        <x:f>IF(DAY(A56)=1,'Inputs'!$C$14,0)</x:f>
        <x:v>0</x:v>
      </x:c>
      <x:c r="K56" s="27" t="n">
        <x:f>IF(DAY(A56)=1,'Inputs'!$C$15,0)</x:f>
        <x:v>0</x:v>
      </x:c>
      <x:c r="L56" s="27" t="n">
        <x:f>IF(DAY(A56)=1,'Inputs'!$C$16,0)</x:f>
        <x:v>0</x:v>
      </x:c>
      <x:c r="M56" s="27" t="n">
        <x:f>0</x:f>
        <x:v>0</x:v>
      </x:c>
      <x:c r="N56" s="27" t="n">
        <x:f>0</x:f>
        <x:v>0</x:v>
      </x:c>
      <x:c r="O56" s="27" t="n">
        <x:f>0</x:f>
        <x:v>0</x:v>
      </x:c>
      <x:c r="P56" s="27" t="n">
        <x:f>0</x:f>
        <x:v>0</x:v>
      </x:c>
      <x:c r="Q56" s="19" t="n">
        <x:f>ROUNDUP(MAX(0,SUM(E56:E62)-X55)/'Inputs'!$C$8,0)*'Inputs'!$C$8</x:f>
        <x:v>200</x:v>
      </x:c>
      <x:c r="R56" s="27" t="n">
        <x:f>Q56*'Inputs'!$C$7</x:f>
        <x:v>800</x:v>
      </x:c>
      <x:c r="S56" s="27" t="n">
        <x:f>G56*'Inputs'!$C$10</x:f>
        <x:v>8.1</x:v>
      </x:c>
      <x:c r="T56" s="18" t="n">
        <x:f>SUM(H56:P56)+SUM(R56:S56)</x:f>
        <x:v>984.1</x:v>
      </x:c>
      <x:c r="U56" s="18" t="n">
        <x:f>U55+G56</x:f>
        <x:v>20916</x:v>
      </x:c>
      <x:c r="V56" s="18" t="n">
        <x:f>V55+T56</x:f>
        <x:v>21727.479999999996</x:v>
      </x:c>
      <x:c r="W56" s="18" t="n">
        <x:f>U56-V56</x:f>
        <x:v>-811.4799999999959</x:v>
      </x:c>
      <x:c r="X56" s="16" t="n">
        <x:f>X55+Q56-E56</x:f>
        <x:v>188</x:v>
      </x:c>
      <x:c r="Y56" s="27" t="n">
        <x:f>0</x:f>
        <x:v>0</x:v>
      </x:c>
      <x:c r="Z56" s="27" t="n">
        <x:f>0</x:f>
        <x:v>0</x:v>
      </x:c>
      <x:c r="AA56" s="27" t="n">
        <x:f>AC55</x:f>
        <x:v>17402.620000000003</x:v>
      </x:c>
      <x:c r="AB56" s="18" t="n">
        <x:f>AA56-T56-Y56+Z56</x:f>
        <x:v>16418.520000000004</x:v>
      </x:c>
      <x:c r="AC56" s="18" t="n">
        <x:f>AB56+G56</x:f>
        <x:v>16688.520000000004</x:v>
      </x:c>
      <x:c r="AE56" t="str">
        <x:f>TEXT(A56,"mmm d")</x:f>
        <x:v>Jul 20</x:v>
      </x:c>
      <x:c r="AF56" s="46" t="n">
        <x:f>U56</x:f>
        <x:v>20916</x:v>
      </x:c>
      <x:c r="AG56" s="46" t="n">
        <x:f>V56</x:f>
        <x:v>21727.479999999996</x:v>
      </x:c>
    </x:row>
    <x:row r="57" ht="22" customHeight="1">
      <x:c r="A57" s="23" t="n">
        <x:f>46589</x:f>
        <x:v>46589</x:v>
      </x:c>
      <x:c r="B57" s="24" t="str">
        <x:f>"Wednesday"</x:f>
        <x:v>Wednesday</x:v>
      </x:c>
      <x:c r="C57" s="26" t="n">
        <x:f>SUMIFS('Inputs'!$H$40:$H$116,'Inputs'!$F$40:$F$116,B57)*IF(MONTH(A57)=8,1-'Inputs'!$C$23,1)</x:f>
        <x:v>488</x:v>
      </x:c>
      <x:c r="D57" s="25" t="n">
        <x:f>D56+C57</x:f>
        <x:v>39715</x:v>
      </x:c>
      <x:c r="E57" s="19" t="n">
        <x:f>ROUND(D57*'Inputs'!$C$30,0)-F56</x:f>
        <x:v>14</x:v>
      </x:c>
      <x:c r="F57" s="16" t="n">
        <x:f>F56+E57</x:f>
        <x:v>1176</x:v>
      </x:c>
      <x:c r="G57" s="27" t="n">
        <x:f>E57*'Inputs'!$C$5</x:f>
        <x:v>252</x:v>
      </x:c>
      <x:c r="H57" s="27" t="n">
        <x:f>'Inputs'!$C$11*'Inputs'!$C$12</x:f>
        <x:v>176</x:v>
      </x:c>
      <x:c r="I57" s="27" t="n">
        <x:f>IF(AND(DAY(A57)=1,A57&gt;'Inputs'!$C$24),'Inputs'!$C$13,0)</x:f>
        <x:v>0</x:v>
      </x:c>
      <x:c r="J57" s="27" t="n">
        <x:f>IF(DAY(A57)=1,'Inputs'!$C$14,0)</x:f>
        <x:v>0</x:v>
      </x:c>
      <x:c r="K57" s="27" t="n">
        <x:f>IF(DAY(A57)=1,'Inputs'!$C$15,0)</x:f>
        <x:v>0</x:v>
      </x:c>
      <x:c r="L57" s="27" t="n">
        <x:f>IF(DAY(A57)=1,'Inputs'!$C$16,0)</x:f>
        <x:v>0</x:v>
      </x:c>
      <x:c r="M57" s="27" t="n">
        <x:f>0</x:f>
        <x:v>0</x:v>
      </x:c>
      <x:c r="N57" s="27" t="n">
        <x:f>0</x:f>
        <x:v>0</x:v>
      </x:c>
      <x:c r="O57" s="27" t="n">
        <x:f>0</x:f>
        <x:v>0</x:v>
      </x:c>
      <x:c r="P57" s="27" t="n">
        <x:f>0</x:f>
        <x:v>0</x:v>
      </x:c>
      <x:c r="Q57" s="19" t="n">
        <x:f>0</x:f>
        <x:v>0</x:v>
      </x:c>
      <x:c r="R57" s="27" t="n">
        <x:f>Q57*'Inputs'!$C$7</x:f>
        <x:v>0</x:v>
      </x:c>
      <x:c r="S57" s="27" t="n">
        <x:f>G57*'Inputs'!$C$10</x:f>
        <x:v>7.56</x:v>
      </x:c>
      <x:c r="T57" s="18" t="n">
        <x:f>SUM(H57:P57)+SUM(R57:S57)</x:f>
        <x:v>183.56</x:v>
      </x:c>
      <x:c r="U57" s="18" t="n">
        <x:f>U56+G57</x:f>
        <x:v>21168</x:v>
      </x:c>
      <x:c r="V57" s="18" t="n">
        <x:f>V56+T57</x:f>
        <x:v>21911.039999999997</x:v>
      </x:c>
      <x:c r="W57" s="18" t="n">
        <x:f>U57-V57</x:f>
        <x:v>-743.0399999999972</x:v>
      </x:c>
      <x:c r="X57" s="16" t="n">
        <x:f>X56+Q57-E57</x:f>
        <x:v>174</x:v>
      </x:c>
      <x:c r="Y57" s="27" t="n">
        <x:f>0</x:f>
        <x:v>0</x:v>
      </x:c>
      <x:c r="Z57" s="27" t="n">
        <x:f>0</x:f>
        <x:v>0</x:v>
      </x:c>
      <x:c r="AA57" s="27" t="n">
        <x:f>AC56</x:f>
        <x:v>16688.520000000004</x:v>
      </x:c>
      <x:c r="AB57" s="18" t="n">
        <x:f>AA57-T57-Y57+Z57</x:f>
        <x:v>16504.960000000003</x:v>
      </x:c>
      <x:c r="AC57" s="18" t="n">
        <x:f>AB57+G57</x:f>
        <x:v>16756.960000000003</x:v>
      </x:c>
      <x:c r="AE57" t="str">
        <x:f>TEXT(A57,"mmm d")</x:f>
        <x:v>Jul 21</x:v>
      </x:c>
      <x:c r="AF57" s="46" t="n">
        <x:f>U57</x:f>
        <x:v>21168</x:v>
      </x:c>
      <x:c r="AG57" s="46" t="n">
        <x:f>V57</x:f>
        <x:v>21911.039999999997</x:v>
      </x:c>
    </x:row>
    <x:row r="58" ht="22" customHeight="1">
      <x:c r="A58" s="23" t="n">
        <x:f>46590</x:f>
        <x:v>46590</x:v>
      </x:c>
      <x:c r="B58" s="24" t="str">
        <x:f>"Thursday"</x:f>
        <x:v>Thursday</x:v>
      </x:c>
      <x:c r="C58" s="26" t="n">
        <x:f>SUMIFS('Inputs'!$H$40:$H$116,'Inputs'!$F$40:$F$116,B58)*IF(MONTH(A58)=8,1-'Inputs'!$C$23,1)</x:f>
        <x:v>488</x:v>
      </x:c>
      <x:c r="D58" s="25" t="n">
        <x:f>D57+C58</x:f>
        <x:v>40203</x:v>
      </x:c>
      <x:c r="E58" s="19" t="n">
        <x:f>ROUND(D58*'Inputs'!$C$30,0)-F57</x:f>
        <x:v>15</x:v>
      </x:c>
      <x:c r="F58" s="16" t="n">
        <x:f>F57+E58</x:f>
        <x:v>1191</x:v>
      </x:c>
      <x:c r="G58" s="27" t="n">
        <x:f>E58*'Inputs'!$C$5</x:f>
        <x:v>270</x:v>
      </x:c>
      <x:c r="H58" s="27" t="n">
        <x:f>'Inputs'!$C$11*'Inputs'!$C$12</x:f>
        <x:v>176</x:v>
      </x:c>
      <x:c r="I58" s="27" t="n">
        <x:f>IF(AND(DAY(A58)=1,A58&gt;'Inputs'!$C$24),'Inputs'!$C$13,0)</x:f>
        <x:v>0</x:v>
      </x:c>
      <x:c r="J58" s="27" t="n">
        <x:f>IF(DAY(A58)=1,'Inputs'!$C$14,0)</x:f>
        <x:v>0</x:v>
      </x:c>
      <x:c r="K58" s="27" t="n">
        <x:f>IF(DAY(A58)=1,'Inputs'!$C$15,0)</x:f>
        <x:v>0</x:v>
      </x:c>
      <x:c r="L58" s="27" t="n">
        <x:f>IF(DAY(A58)=1,'Inputs'!$C$16,0)</x:f>
        <x:v>0</x:v>
      </x:c>
      <x:c r="M58" s="27" t="n">
        <x:f>0</x:f>
        <x:v>0</x:v>
      </x:c>
      <x:c r="N58" s="27" t="n">
        <x:f>0</x:f>
        <x:v>0</x:v>
      </x:c>
      <x:c r="O58" s="27" t="n">
        <x:f>0</x:f>
        <x:v>0</x:v>
      </x:c>
      <x:c r="P58" s="27" t="n">
        <x:f>0</x:f>
        <x:v>0</x:v>
      </x:c>
      <x:c r="Q58" s="19" t="n">
        <x:f>0</x:f>
        <x:v>0</x:v>
      </x:c>
      <x:c r="R58" s="27" t="n">
        <x:f>Q58*'Inputs'!$C$7</x:f>
        <x:v>0</x:v>
      </x:c>
      <x:c r="S58" s="27" t="n">
        <x:f>G58*'Inputs'!$C$10</x:f>
        <x:v>8.1</x:v>
      </x:c>
      <x:c r="T58" s="18" t="n">
        <x:f>SUM(H58:P58)+SUM(R58:S58)</x:f>
        <x:v>184.1</x:v>
      </x:c>
      <x:c r="U58" s="18" t="n">
        <x:f>U57+G58</x:f>
        <x:v>21438</x:v>
      </x:c>
      <x:c r="V58" s="18" t="n">
        <x:f>V57+T58</x:f>
        <x:v>22095.139999999996</x:v>
      </x:c>
      <x:c r="W58" s="18" t="n">
        <x:f>U58-V58</x:f>
        <x:v>-657.1399999999958</x:v>
      </x:c>
      <x:c r="X58" s="16" t="n">
        <x:f>X57+Q58-E58</x:f>
        <x:v>159</x:v>
      </x:c>
      <x:c r="Y58" s="27" t="n">
        <x:f>0</x:f>
        <x:v>0</x:v>
      </x:c>
      <x:c r="Z58" s="27" t="n">
        <x:f>0</x:f>
        <x:v>0</x:v>
      </x:c>
      <x:c r="AA58" s="27" t="n">
        <x:f>AC57</x:f>
        <x:v>16756.960000000003</x:v>
      </x:c>
      <x:c r="AB58" s="18" t="n">
        <x:f>AA58-T58-Y58+Z58</x:f>
        <x:v>16572.860000000004</x:v>
      </x:c>
      <x:c r="AC58" s="18" t="n">
        <x:f>AB58+G58</x:f>
        <x:v>16842.860000000004</x:v>
      </x:c>
      <x:c r="AE58" t="str">
        <x:f>TEXT(A58,"mmm d")</x:f>
        <x:v>Jul 22</x:v>
      </x:c>
      <x:c r="AF58" s="46" t="n">
        <x:f>U58</x:f>
        <x:v>21438</x:v>
      </x:c>
      <x:c r="AG58" s="46" t="n">
        <x:f>V58</x:f>
        <x:v>22095.139999999996</x:v>
      </x:c>
    </x:row>
    <x:row r="59" ht="22" customHeight="1">
      <x:c r="A59" s="23" t="n">
        <x:f>46591</x:f>
        <x:v>46591</x:v>
      </x:c>
      <x:c r="B59" s="24" t="str">
        <x:f>"Friday"</x:f>
        <x:v>Friday</x:v>
      </x:c>
      <x:c r="C59" s="26" t="n">
        <x:f>SUMIFS('Inputs'!$H$40:$H$116,'Inputs'!$F$40:$F$116,B59)*IF(MONTH(A59)=8,1-'Inputs'!$C$23,1)</x:f>
        <x:v>565</x:v>
      </x:c>
      <x:c r="D59" s="25" t="n">
        <x:f>D58+C59</x:f>
        <x:v>40768</x:v>
      </x:c>
      <x:c r="E59" s="19" t="n">
        <x:f>ROUND(D59*'Inputs'!$C$30,0)-F58</x:f>
        <x:v>16</x:v>
      </x:c>
      <x:c r="F59" s="16" t="n">
        <x:f>F58+E59</x:f>
        <x:v>1207</x:v>
      </x:c>
      <x:c r="G59" s="27" t="n">
        <x:f>E59*'Inputs'!$C$5</x:f>
        <x:v>288</x:v>
      </x:c>
      <x:c r="H59" s="27" t="n">
        <x:f>'Inputs'!$C$11*'Inputs'!$C$12</x:f>
        <x:v>176</x:v>
      </x:c>
      <x:c r="I59" s="27" t="n">
        <x:f>IF(AND(DAY(A59)=1,A59&gt;'Inputs'!$C$24),'Inputs'!$C$13,0)</x:f>
        <x:v>0</x:v>
      </x:c>
      <x:c r="J59" s="27" t="n">
        <x:f>IF(DAY(A59)=1,'Inputs'!$C$14,0)</x:f>
        <x:v>0</x:v>
      </x:c>
      <x:c r="K59" s="27" t="n">
        <x:f>IF(DAY(A59)=1,'Inputs'!$C$15,0)</x:f>
        <x:v>0</x:v>
      </x:c>
      <x:c r="L59" s="27" t="n">
        <x:f>IF(DAY(A59)=1,'Inputs'!$C$16,0)</x:f>
        <x:v>0</x:v>
      </x:c>
      <x:c r="M59" s="27" t="n">
        <x:f>0</x:f>
        <x:v>0</x:v>
      </x:c>
      <x:c r="N59" s="27" t="n">
        <x:f>0</x:f>
        <x:v>0</x:v>
      </x:c>
      <x:c r="O59" s="27" t="n">
        <x:f>0</x:f>
        <x:v>0</x:v>
      </x:c>
      <x:c r="P59" s="27" t="n">
        <x:f>0</x:f>
        <x:v>0</x:v>
      </x:c>
      <x:c r="Q59" s="19" t="n">
        <x:f>0</x:f>
        <x:v>0</x:v>
      </x:c>
      <x:c r="R59" s="27" t="n">
        <x:f>Q59*'Inputs'!$C$7</x:f>
        <x:v>0</x:v>
      </x:c>
      <x:c r="S59" s="27" t="n">
        <x:f>G59*'Inputs'!$C$10</x:f>
        <x:v>8.64</x:v>
      </x:c>
      <x:c r="T59" s="18" t="n">
        <x:f>SUM(H59:P59)+SUM(R59:S59)</x:f>
        <x:v>184.64</x:v>
      </x:c>
      <x:c r="U59" s="18" t="n">
        <x:f>U58+G59</x:f>
        <x:v>21726</x:v>
      </x:c>
      <x:c r="V59" s="18" t="n">
        <x:f>V58+T59</x:f>
        <x:v>22279.779999999995</x:v>
      </x:c>
      <x:c r="W59" s="18" t="n">
        <x:f>U59-V59</x:f>
        <x:v>-553.7799999999952</x:v>
      </x:c>
      <x:c r="X59" s="16" t="n">
        <x:f>X58+Q59-E59</x:f>
        <x:v>143</x:v>
      </x:c>
      <x:c r="Y59" s="27" t="n">
        <x:f>0</x:f>
        <x:v>0</x:v>
      </x:c>
      <x:c r="Z59" s="27" t="n">
        <x:f>0</x:f>
        <x:v>0</x:v>
      </x:c>
      <x:c r="AA59" s="27" t="n">
        <x:f>AC58</x:f>
        <x:v>16842.860000000004</x:v>
      </x:c>
      <x:c r="AB59" s="18" t="n">
        <x:f>AA59-T59-Y59+Z59</x:f>
        <x:v>16658.220000000005</x:v>
      </x:c>
      <x:c r="AC59" s="18" t="n">
        <x:f>AB59+G59</x:f>
        <x:v>16946.220000000005</x:v>
      </x:c>
      <x:c r="AE59" t="str">
        <x:f>TEXT(A59,"mmm d")</x:f>
        <x:v>Jul 23</x:v>
      </x:c>
      <x:c r="AF59" s="46" t="n">
        <x:f>U59</x:f>
        <x:v>21726</x:v>
      </x:c>
      <x:c r="AG59" s="46" t="n">
        <x:f>V59</x:f>
        <x:v>22279.779999999995</x:v>
      </x:c>
    </x:row>
    <x:row r="60" ht="22" customHeight="1">
      <x:c r="A60" s="23" t="n">
        <x:f>46592</x:f>
        <x:v>46592</x:v>
      </x:c>
      <x:c r="B60" s="24" t="str">
        <x:f>"Saturday"</x:f>
        <x:v>Saturday</x:v>
      </x:c>
      <x:c r="C60" s="26" t="n">
        <x:f>SUMIFS('Inputs'!$H$40:$H$116,'Inputs'!$F$40:$F$116,B60)*IF(MONTH(A60)=8,1-'Inputs'!$C$23,1)</x:f>
        <x:v>1529</x:v>
      </x:c>
      <x:c r="D60" s="25" t="n">
        <x:f>D59+C60</x:f>
        <x:v>42297</x:v>
      </x:c>
      <x:c r="E60" s="19" t="n">
        <x:f>ROUND(D60*'Inputs'!$C$30,0)-F59</x:f>
        <x:v>46</x:v>
      </x:c>
      <x:c r="F60" s="16" t="n">
        <x:f>F59+E60</x:f>
        <x:v>1253</x:v>
      </x:c>
      <x:c r="G60" s="27" t="n">
        <x:f>E60*'Inputs'!$C$5</x:f>
        <x:v>828</x:v>
      </x:c>
      <x:c r="H60" s="27" t="n">
        <x:f>'Inputs'!$C$11*'Inputs'!$C$12</x:f>
        <x:v>176</x:v>
      </x:c>
      <x:c r="I60" s="27" t="n">
        <x:f>IF(AND(DAY(A60)=1,A60&gt;'Inputs'!$C$24),'Inputs'!$C$13,0)</x:f>
        <x:v>0</x:v>
      </x:c>
      <x:c r="J60" s="27" t="n">
        <x:f>IF(DAY(A60)=1,'Inputs'!$C$14,0)</x:f>
        <x:v>0</x:v>
      </x:c>
      <x:c r="K60" s="27" t="n">
        <x:f>IF(DAY(A60)=1,'Inputs'!$C$15,0)</x:f>
        <x:v>0</x:v>
      </x:c>
      <x:c r="L60" s="27" t="n">
        <x:f>IF(DAY(A60)=1,'Inputs'!$C$16,0)</x:f>
        <x:v>0</x:v>
      </x:c>
      <x:c r="M60" s="27" t="n">
        <x:f>0</x:f>
        <x:v>0</x:v>
      </x:c>
      <x:c r="N60" s="27" t="n">
        <x:f>0</x:f>
        <x:v>0</x:v>
      </x:c>
      <x:c r="O60" s="27" t="n">
        <x:f>0</x:f>
        <x:v>0</x:v>
      </x:c>
      <x:c r="P60" s="27" t="n">
        <x:f>0</x:f>
        <x:v>0</x:v>
      </x:c>
      <x:c r="Q60" s="19" t="n">
        <x:f>0</x:f>
        <x:v>0</x:v>
      </x:c>
      <x:c r="R60" s="27" t="n">
        <x:f>Q60*'Inputs'!$C$7</x:f>
        <x:v>0</x:v>
      </x:c>
      <x:c r="S60" s="27" t="n">
        <x:f>G60*'Inputs'!$C$10</x:f>
        <x:v>24.84</x:v>
      </x:c>
      <x:c r="T60" s="18" t="n">
        <x:f>SUM(H60:P60)+SUM(R60:S60)</x:f>
        <x:v>200.84</x:v>
      </x:c>
      <x:c r="U60" s="18" t="n">
        <x:f>U59+G60</x:f>
        <x:v>22554</x:v>
      </x:c>
      <x:c r="V60" s="18" t="n">
        <x:f>V59+T60</x:f>
        <x:v>22480.619999999995</x:v>
      </x:c>
      <x:c r="W60" s="18" t="n">
        <x:f>U60-V60</x:f>
        <x:v>73.38000000000466</x:v>
      </x:c>
      <x:c r="X60" s="16" t="n">
        <x:f>X59+Q60-E60</x:f>
        <x:v>97</x:v>
      </x:c>
      <x:c r="Y60" s="27" t="n">
        <x:f>0</x:f>
        <x:v>0</x:v>
      </x:c>
      <x:c r="Z60" s="27" t="n">
        <x:f>0</x:f>
        <x:v>0</x:v>
      </x:c>
      <x:c r="AA60" s="27" t="n">
        <x:f>AC59</x:f>
        <x:v>16946.220000000005</x:v>
      </x:c>
      <x:c r="AB60" s="18" t="n">
        <x:f>AA60-T60-Y60+Z60</x:f>
        <x:v>16745.380000000005</x:v>
      </x:c>
      <x:c r="AC60" s="18" t="n">
        <x:f>AB60+G60</x:f>
        <x:v>17573.380000000005</x:v>
      </x:c>
      <x:c r="AE60" t="str">
        <x:f>TEXT(A60,"mmm d")</x:f>
        <x:v>Jul 24</x:v>
      </x:c>
      <x:c r="AF60" s="46" t="n">
        <x:f>U60</x:f>
        <x:v>22554</x:v>
      </x:c>
      <x:c r="AG60" s="46" t="n">
        <x:f>V60</x:f>
        <x:v>22480.619999999995</x:v>
      </x:c>
    </x:row>
    <x:row r="61" ht="22" customHeight="1">
      <x:c r="A61" s="23" t="n">
        <x:f>46593</x:f>
        <x:v>46593</x:v>
      </x:c>
      <x:c r="B61" s="24" t="str">
        <x:f>"Sunday"</x:f>
        <x:v>Sunday</x:v>
      </x:c>
      <x:c r="C61" s="26" t="n">
        <x:f>SUMIFS('Inputs'!$H$40:$H$116,'Inputs'!$F$40:$F$116,B61)*IF(MONTH(A61)=8,1-'Inputs'!$C$23,1)</x:f>
        <x:v>1463</x:v>
      </x:c>
      <x:c r="D61" s="25" t="n">
        <x:f>D60+C61</x:f>
        <x:v>43760</x:v>
      </x:c>
      <x:c r="E61" s="19" t="n">
        <x:f>ROUND(D61*'Inputs'!$C$30,0)-F60</x:f>
        <x:v>43</x:v>
      </x:c>
      <x:c r="F61" s="16" t="n">
        <x:f>F60+E61</x:f>
        <x:v>1296</x:v>
      </x:c>
      <x:c r="G61" s="27" t="n">
        <x:f>E61*'Inputs'!$C$5</x:f>
        <x:v>774</x:v>
      </x:c>
      <x:c r="H61" s="27" t="n">
        <x:f>'Inputs'!$C$11*'Inputs'!$C$12</x:f>
        <x:v>176</x:v>
      </x:c>
      <x:c r="I61" s="27" t="n">
        <x:f>IF(AND(DAY(A61)=1,A61&gt;'Inputs'!$C$24),'Inputs'!$C$13,0)</x:f>
        <x:v>0</x:v>
      </x:c>
      <x:c r="J61" s="27" t="n">
        <x:f>IF(DAY(A61)=1,'Inputs'!$C$14,0)</x:f>
        <x:v>0</x:v>
      </x:c>
      <x:c r="K61" s="27" t="n">
        <x:f>IF(DAY(A61)=1,'Inputs'!$C$15,0)</x:f>
        <x:v>0</x:v>
      </x:c>
      <x:c r="L61" s="27" t="n">
        <x:f>IF(DAY(A61)=1,'Inputs'!$C$16,0)</x:f>
        <x:v>0</x:v>
      </x:c>
      <x:c r="M61" s="27" t="n">
        <x:f>0</x:f>
        <x:v>0</x:v>
      </x:c>
      <x:c r="N61" s="27" t="n">
        <x:f>0</x:f>
        <x:v>0</x:v>
      </x:c>
      <x:c r="O61" s="27" t="n">
        <x:f>0</x:f>
        <x:v>0</x:v>
      </x:c>
      <x:c r="P61" s="27" t="n">
        <x:f>0</x:f>
        <x:v>0</x:v>
      </x:c>
      <x:c r="Q61" s="19" t="n">
        <x:f>0</x:f>
        <x:v>0</x:v>
      </x:c>
      <x:c r="R61" s="27" t="n">
        <x:f>Q61*'Inputs'!$C$7</x:f>
        <x:v>0</x:v>
      </x:c>
      <x:c r="S61" s="27" t="n">
        <x:f>G61*'Inputs'!$C$10</x:f>
        <x:v>23.22</x:v>
      </x:c>
      <x:c r="T61" s="18" t="n">
        <x:f>SUM(H61:P61)+SUM(R61:S61)</x:f>
        <x:v>199.22</x:v>
      </x:c>
      <x:c r="U61" s="18" t="n">
        <x:f>U60+G61</x:f>
        <x:v>23328</x:v>
      </x:c>
      <x:c r="V61" s="18" t="n">
        <x:f>V60+T61</x:f>
        <x:v>22679.839999999997</x:v>
      </x:c>
      <x:c r="W61" s="18" t="n">
        <x:f>U61-V61</x:f>
        <x:v>648.1600000000035</x:v>
      </x:c>
      <x:c r="X61" s="16" t="n">
        <x:f>X60+Q61-E61</x:f>
        <x:v>54</x:v>
      </x:c>
      <x:c r="Y61" s="27" t="n">
        <x:f>0</x:f>
        <x:v>0</x:v>
      </x:c>
      <x:c r="Z61" s="27" t="n">
        <x:f>0</x:f>
        <x:v>0</x:v>
      </x:c>
      <x:c r="AA61" s="27" t="n">
        <x:f>AC60</x:f>
        <x:v>17573.380000000005</x:v>
      </x:c>
      <x:c r="AB61" s="18" t="n">
        <x:f>AA61-T61-Y61+Z61</x:f>
        <x:v>17374.160000000003</x:v>
      </x:c>
      <x:c r="AC61" s="18" t="n">
        <x:f>AB61+G61</x:f>
        <x:v>18148.160000000003</x:v>
      </x:c>
      <x:c r="AE61" t="str">
        <x:f>TEXT(A61,"mmm d")</x:f>
        <x:v>Jul 25</x:v>
      </x:c>
      <x:c r="AF61" s="46" t="n">
        <x:f>U61</x:f>
        <x:v>23328</x:v>
      </x:c>
      <x:c r="AG61" s="46" t="n">
        <x:f>V61</x:f>
        <x:v>22679.839999999997</x:v>
      </x:c>
    </x:row>
    <x:row r="62" ht="22" customHeight="1">
      <x:c r="A62" s="23" t="n">
        <x:f>46594</x:f>
        <x:v>46594</x:v>
      </x:c>
      <x:c r="B62" s="24" t="str">
        <x:f>"Monday"</x:f>
        <x:v>Monday</x:v>
      </x:c>
      <x:c r="C62" s="26" t="n">
        <x:f>SUMIFS('Inputs'!$H$40:$H$116,'Inputs'!$F$40:$F$116,B62)*IF(MONTH(A62)=8,1-'Inputs'!$C$23,1)</x:f>
        <x:v>488</x:v>
      </x:c>
      <x:c r="D62" s="25" t="n">
        <x:f>D61+C62</x:f>
        <x:v>44248</x:v>
      </x:c>
      <x:c r="E62" s="19" t="n">
        <x:f>ROUND(D62*'Inputs'!$C$30,0)-F61</x:f>
        <x:v>14</x:v>
      </x:c>
      <x:c r="F62" s="16" t="n">
        <x:f>F61+E62</x:f>
        <x:v>1310</x:v>
      </x:c>
      <x:c r="G62" s="27" t="n">
        <x:f>E62*'Inputs'!$C$5</x:f>
        <x:v>252</x:v>
      </x:c>
      <x:c r="H62" s="27" t="n">
        <x:f>'Inputs'!$C$11*'Inputs'!$C$12</x:f>
        <x:v>176</x:v>
      </x:c>
      <x:c r="I62" s="27" t="n">
        <x:f>IF(AND(DAY(A62)=1,A62&gt;'Inputs'!$C$24),'Inputs'!$C$13,0)</x:f>
        <x:v>0</x:v>
      </x:c>
      <x:c r="J62" s="27" t="n">
        <x:f>IF(DAY(A62)=1,'Inputs'!$C$14,0)</x:f>
        <x:v>0</x:v>
      </x:c>
      <x:c r="K62" s="27" t="n">
        <x:f>IF(DAY(A62)=1,'Inputs'!$C$15,0)</x:f>
        <x:v>0</x:v>
      </x:c>
      <x:c r="L62" s="27" t="n">
        <x:f>IF(DAY(A62)=1,'Inputs'!$C$16,0)</x:f>
        <x:v>0</x:v>
      </x:c>
      <x:c r="M62" s="27" t="n">
        <x:f>0</x:f>
        <x:v>0</x:v>
      </x:c>
      <x:c r="N62" s="27" t="n">
        <x:f>0</x:f>
        <x:v>0</x:v>
      </x:c>
      <x:c r="O62" s="27" t="n">
        <x:f>0</x:f>
        <x:v>0</x:v>
      </x:c>
      <x:c r="P62" s="27" t="n">
        <x:f>0</x:f>
        <x:v>0</x:v>
      </x:c>
      <x:c r="Q62" s="19" t="n">
        <x:f>0</x:f>
        <x:v>0</x:v>
      </x:c>
      <x:c r="R62" s="27" t="n">
        <x:f>Q62*'Inputs'!$C$7</x:f>
        <x:v>0</x:v>
      </x:c>
      <x:c r="S62" s="27" t="n">
        <x:f>G62*'Inputs'!$C$10</x:f>
        <x:v>7.56</x:v>
      </x:c>
      <x:c r="T62" s="18" t="n">
        <x:f>SUM(H62:P62)+SUM(R62:S62)</x:f>
        <x:v>183.56</x:v>
      </x:c>
      <x:c r="U62" s="18" t="n">
        <x:f>U61+G62</x:f>
        <x:v>23580</x:v>
      </x:c>
      <x:c r="V62" s="18" t="n">
        <x:f>V61+T62</x:f>
        <x:v>22863.399999999998</x:v>
      </x:c>
      <x:c r="W62" s="18" t="n">
        <x:f>U62-V62</x:f>
        <x:v>716.6000000000022</x:v>
      </x:c>
      <x:c r="X62" s="16" t="n">
        <x:f>X61+Q62-E62</x:f>
        <x:v>40</x:v>
      </x:c>
      <x:c r="Y62" s="27" t="n">
        <x:f>0</x:f>
        <x:v>0</x:v>
      </x:c>
      <x:c r="Z62" s="27" t="n">
        <x:f>0</x:f>
        <x:v>0</x:v>
      </x:c>
      <x:c r="AA62" s="27" t="n">
        <x:f>AC61</x:f>
        <x:v>18148.160000000003</x:v>
      </x:c>
      <x:c r="AB62" s="18" t="n">
        <x:f>AA62-T62-Y62+Z62</x:f>
        <x:v>17964.600000000002</x:v>
      </x:c>
      <x:c r="AC62" s="18" t="n">
        <x:f>AB62+G62</x:f>
        <x:v>18216.600000000002</x:v>
      </x:c>
      <x:c r="AE62" t="str">
        <x:f>TEXT(A62,"mmm d")</x:f>
        <x:v>Jul 26</x:v>
      </x:c>
      <x:c r="AF62" s="46" t="n">
        <x:f>U62</x:f>
        <x:v>23580</x:v>
      </x:c>
      <x:c r="AG62" s="46" t="n">
        <x:f>V62</x:f>
        <x:v>22863.399999999998</x:v>
      </x:c>
    </x:row>
    <x:row r="63" ht="22" customHeight="1">
      <x:c r="A63" s="23" t="n">
        <x:f>46595</x:f>
        <x:v>46595</x:v>
      </x:c>
      <x:c r="B63" s="24" t="str">
        <x:f>"Tuesday"</x:f>
        <x:v>Tuesday</x:v>
      </x:c>
      <x:c r="C63" s="26" t="n">
        <x:f>SUMIFS('Inputs'!$H$40:$H$116,'Inputs'!$F$40:$F$116,B63)*IF(MONTH(A63)=8,1-'Inputs'!$C$23,1)</x:f>
        <x:v>510</x:v>
      </x:c>
      <x:c r="D63" s="25" t="n">
        <x:f>D62+C63</x:f>
        <x:v>44758</x:v>
      </x:c>
      <x:c r="E63" s="19" t="n">
        <x:f>ROUND(D63*'Inputs'!$C$30,0)-F62</x:f>
        <x:v>15</x:v>
      </x:c>
      <x:c r="F63" s="16" t="n">
        <x:f>F62+E63</x:f>
        <x:v>1325</x:v>
      </x:c>
      <x:c r="G63" s="27" t="n">
        <x:f>E63*'Inputs'!$C$5</x:f>
        <x:v>270</x:v>
      </x:c>
      <x:c r="H63" s="27" t="n">
        <x:f>'Inputs'!$C$11*'Inputs'!$C$12</x:f>
        <x:v>176</x:v>
      </x:c>
      <x:c r="I63" s="27" t="n">
        <x:f>IF(AND(DAY(A63)=1,A63&gt;'Inputs'!$C$24),'Inputs'!$C$13,0)</x:f>
        <x:v>0</x:v>
      </x:c>
      <x:c r="J63" s="27" t="n">
        <x:f>IF(DAY(A63)=1,'Inputs'!$C$14,0)</x:f>
        <x:v>0</x:v>
      </x:c>
      <x:c r="K63" s="27" t="n">
        <x:f>IF(DAY(A63)=1,'Inputs'!$C$15,0)</x:f>
        <x:v>0</x:v>
      </x:c>
      <x:c r="L63" s="27" t="n">
        <x:f>IF(DAY(A63)=1,'Inputs'!$C$16,0)</x:f>
        <x:v>0</x:v>
      </x:c>
      <x:c r="M63" s="27" t="n">
        <x:f>0</x:f>
        <x:v>0</x:v>
      </x:c>
      <x:c r="N63" s="27" t="n">
        <x:f>0</x:f>
        <x:v>0</x:v>
      </x:c>
      <x:c r="O63" s="27" t="n">
        <x:f>0</x:f>
        <x:v>0</x:v>
      </x:c>
      <x:c r="P63" s="27" t="n">
        <x:f>0</x:f>
        <x:v>0</x:v>
      </x:c>
      <x:c r="Q63" s="19" t="n">
        <x:f>ROUNDUP(MAX(0,SUM(E63:E69)-X62)/'Inputs'!$C$8,0)*'Inputs'!$C$8</x:f>
        <x:v>150</x:v>
      </x:c>
      <x:c r="R63" s="27" t="n">
        <x:f>Q63*'Inputs'!$C$7</x:f>
        <x:v>600</x:v>
      </x:c>
      <x:c r="S63" s="27" t="n">
        <x:f>G63*'Inputs'!$C$10</x:f>
        <x:v>8.1</x:v>
      </x:c>
      <x:c r="T63" s="18" t="n">
        <x:f>SUM(H63:P63)+SUM(R63:S63)</x:f>
        <x:v>784.1</x:v>
      </x:c>
      <x:c r="U63" s="18" t="n">
        <x:f>U62+G63</x:f>
        <x:v>23850</x:v>
      </x:c>
      <x:c r="V63" s="18" t="n">
        <x:f>V62+T63</x:f>
        <x:v>23647.499999999996</x:v>
      </x:c>
      <x:c r="W63" s="18" t="n">
        <x:f>U63-V63</x:f>
        <x:v>202.50000000000364</x:v>
      </x:c>
      <x:c r="X63" s="16" t="n">
        <x:f>X62+Q63-E63</x:f>
        <x:v>175</x:v>
      </x:c>
      <x:c r="Y63" s="27" t="n">
        <x:f>0</x:f>
        <x:v>0</x:v>
      </x:c>
      <x:c r="Z63" s="27" t="n">
        <x:f>0</x:f>
        <x:v>0</x:v>
      </x:c>
      <x:c r="AA63" s="27" t="n">
        <x:f>AC62</x:f>
        <x:v>18216.600000000002</x:v>
      </x:c>
      <x:c r="AB63" s="18" t="n">
        <x:f>AA63-T63-Y63+Z63</x:f>
        <x:v>17432.500000000004</x:v>
      </x:c>
      <x:c r="AC63" s="18" t="n">
        <x:f>AB63+G63</x:f>
        <x:v>17702.500000000004</x:v>
      </x:c>
      <x:c r="AE63" t="str">
        <x:f>TEXT(A63,"mmm d")</x:f>
        <x:v>Jul 27</x:v>
      </x:c>
      <x:c r="AF63" s="46" t="n">
        <x:f>U63</x:f>
        <x:v>23850</x:v>
      </x:c>
      <x:c r="AG63" s="46" t="n">
        <x:f>V63</x:f>
        <x:v>23647.499999999996</x:v>
      </x:c>
    </x:row>
    <x:row r="64" ht="22" customHeight="1">
      <x:c r="A64" s="23" t="n">
        <x:f>46596</x:f>
        <x:v>46596</x:v>
      </x:c>
      <x:c r="B64" s="24" t="str">
        <x:f>"Wednesday"</x:f>
        <x:v>Wednesday</x:v>
      </x:c>
      <x:c r="C64" s="26" t="n">
        <x:f>SUMIFS('Inputs'!$H$40:$H$116,'Inputs'!$F$40:$F$116,B64)*IF(MONTH(A64)=8,1-'Inputs'!$C$23,1)</x:f>
        <x:v>488</x:v>
      </x:c>
      <x:c r="D64" s="25" t="n">
        <x:f>D63+C64</x:f>
        <x:v>45246</x:v>
      </x:c>
      <x:c r="E64" s="19" t="n">
        <x:f>ROUND(D64*'Inputs'!$C$30,0)-F63</x:f>
        <x:v>15</x:v>
      </x:c>
      <x:c r="F64" s="16" t="n">
        <x:f>F63+E64</x:f>
        <x:v>1340</x:v>
      </x:c>
      <x:c r="G64" s="27" t="n">
        <x:f>E64*'Inputs'!$C$5</x:f>
        <x:v>270</x:v>
      </x:c>
      <x:c r="H64" s="27" t="n">
        <x:f>'Inputs'!$C$11*'Inputs'!$C$12</x:f>
        <x:v>176</x:v>
      </x:c>
      <x:c r="I64" s="27" t="n">
        <x:f>IF(AND(DAY(A64)=1,A64&gt;'Inputs'!$C$24),'Inputs'!$C$13,0)</x:f>
        <x:v>0</x:v>
      </x:c>
      <x:c r="J64" s="27" t="n">
        <x:f>IF(DAY(A64)=1,'Inputs'!$C$14,0)</x:f>
        <x:v>0</x:v>
      </x:c>
      <x:c r="K64" s="27" t="n">
        <x:f>IF(DAY(A64)=1,'Inputs'!$C$15,0)</x:f>
        <x:v>0</x:v>
      </x:c>
      <x:c r="L64" s="27" t="n">
        <x:f>IF(DAY(A64)=1,'Inputs'!$C$16,0)</x:f>
        <x:v>0</x:v>
      </x:c>
      <x:c r="M64" s="27" t="n">
        <x:f>0</x:f>
        <x:v>0</x:v>
      </x:c>
      <x:c r="N64" s="27" t="n">
        <x:f>0</x:f>
        <x:v>0</x:v>
      </x:c>
      <x:c r="O64" s="27" t="n">
        <x:f>0</x:f>
        <x:v>0</x:v>
      </x:c>
      <x:c r="P64" s="27" t="n">
        <x:f>0</x:f>
        <x:v>0</x:v>
      </x:c>
      <x:c r="Q64" s="19" t="n">
        <x:f>0</x:f>
        <x:v>0</x:v>
      </x:c>
      <x:c r="R64" s="27" t="n">
        <x:f>Q64*'Inputs'!$C$7</x:f>
        <x:v>0</x:v>
      </x:c>
      <x:c r="S64" s="27" t="n">
        <x:f>G64*'Inputs'!$C$10</x:f>
        <x:v>8.1</x:v>
      </x:c>
      <x:c r="T64" s="18" t="n">
        <x:f>SUM(H64:P64)+SUM(R64:S64)</x:f>
        <x:v>184.1</x:v>
      </x:c>
      <x:c r="U64" s="18" t="n">
        <x:f>U63+G64</x:f>
        <x:v>24120</x:v>
      </x:c>
      <x:c r="V64" s="18" t="n">
        <x:f>V63+T64</x:f>
        <x:v>23831.599999999995</x:v>
      </x:c>
      <x:c r="W64" s="18" t="n">
        <x:f>U64-V64</x:f>
        <x:v>288.4000000000051</x:v>
      </x:c>
      <x:c r="X64" s="16" t="n">
        <x:f>X63+Q64-E64</x:f>
        <x:v>160</x:v>
      </x:c>
      <x:c r="Y64" s="27" t="n">
        <x:f>0</x:f>
        <x:v>0</x:v>
      </x:c>
      <x:c r="Z64" s="27" t="n">
        <x:f>0</x:f>
        <x:v>0</x:v>
      </x:c>
      <x:c r="AA64" s="27" t="n">
        <x:f>AC63</x:f>
        <x:v>17702.500000000004</x:v>
      </x:c>
      <x:c r="AB64" s="18" t="n">
        <x:f>AA64-T64-Y64+Z64</x:f>
        <x:v>17518.400000000005</x:v>
      </x:c>
      <x:c r="AC64" s="18" t="n">
        <x:f>AB64+G64</x:f>
        <x:v>17788.400000000005</x:v>
      </x:c>
      <x:c r="AE64" t="str">
        <x:f>TEXT(A64,"mmm d")</x:f>
        <x:v>Jul 28</x:v>
      </x:c>
      <x:c r="AF64" s="46" t="n">
        <x:f>U64</x:f>
        <x:v>24120</x:v>
      </x:c>
      <x:c r="AG64" s="46" t="n">
        <x:f>V64</x:f>
        <x:v>23831.599999999995</x:v>
      </x:c>
    </x:row>
    <x:row r="65" ht="22" customHeight="1">
      <x:c r="A65" s="23" t="n">
        <x:f>46597</x:f>
        <x:v>46597</x:v>
      </x:c>
      <x:c r="B65" s="24" t="str">
        <x:f>"Thursday"</x:f>
        <x:v>Thursday</x:v>
      </x:c>
      <x:c r="C65" s="26" t="n">
        <x:f>SUMIFS('Inputs'!$H$40:$H$116,'Inputs'!$F$40:$F$116,B65)*IF(MONTH(A65)=8,1-'Inputs'!$C$23,1)</x:f>
        <x:v>488</x:v>
      </x:c>
      <x:c r="D65" s="25" t="n">
        <x:f>D64+C65</x:f>
        <x:v>45734</x:v>
      </x:c>
      <x:c r="E65" s="19" t="n">
        <x:f>ROUND(D65*'Inputs'!$C$30,0)-F64</x:f>
        <x:v>14</x:v>
      </x:c>
      <x:c r="F65" s="16" t="n">
        <x:f>F64+E65</x:f>
        <x:v>1354</x:v>
      </x:c>
      <x:c r="G65" s="27" t="n">
        <x:f>E65*'Inputs'!$C$5</x:f>
        <x:v>252</x:v>
      </x:c>
      <x:c r="H65" s="27" t="n">
        <x:f>'Inputs'!$C$11*'Inputs'!$C$12</x:f>
        <x:v>176</x:v>
      </x:c>
      <x:c r="I65" s="27" t="n">
        <x:f>IF(AND(DAY(A65)=1,A65&gt;'Inputs'!$C$24),'Inputs'!$C$13,0)</x:f>
        <x:v>0</x:v>
      </x:c>
      <x:c r="J65" s="27" t="n">
        <x:f>IF(DAY(A65)=1,'Inputs'!$C$14,0)</x:f>
        <x:v>0</x:v>
      </x:c>
      <x:c r="K65" s="27" t="n">
        <x:f>IF(DAY(A65)=1,'Inputs'!$C$15,0)</x:f>
        <x:v>0</x:v>
      </x:c>
      <x:c r="L65" s="27" t="n">
        <x:f>IF(DAY(A65)=1,'Inputs'!$C$16,0)</x:f>
        <x:v>0</x:v>
      </x:c>
      <x:c r="M65" s="27" t="n">
        <x:f>0</x:f>
        <x:v>0</x:v>
      </x:c>
      <x:c r="N65" s="27" t="n">
        <x:f>0</x:f>
        <x:v>0</x:v>
      </x:c>
      <x:c r="O65" s="27" t="n">
        <x:f>0</x:f>
        <x:v>0</x:v>
      </x:c>
      <x:c r="P65" s="27" t="n">
        <x:f>0</x:f>
        <x:v>0</x:v>
      </x:c>
      <x:c r="Q65" s="19" t="n">
        <x:f>0</x:f>
        <x:v>0</x:v>
      </x:c>
      <x:c r="R65" s="27" t="n">
        <x:f>Q65*'Inputs'!$C$7</x:f>
        <x:v>0</x:v>
      </x:c>
      <x:c r="S65" s="27" t="n">
        <x:f>G65*'Inputs'!$C$10</x:f>
        <x:v>7.56</x:v>
      </x:c>
      <x:c r="T65" s="18" t="n">
        <x:f>SUM(H65:P65)+SUM(R65:S65)</x:f>
        <x:v>183.56</x:v>
      </x:c>
      <x:c r="U65" s="18" t="n">
        <x:f>U64+G65</x:f>
        <x:v>24372</x:v>
      </x:c>
      <x:c r="V65" s="18" t="n">
        <x:f>V64+T65</x:f>
        <x:v>24015.159999999996</x:v>
      </x:c>
      <x:c r="W65" s="18" t="n">
        <x:f>U65-V65</x:f>
        <x:v>356.8400000000038</x:v>
      </x:c>
      <x:c r="X65" s="16" t="n">
        <x:f>X64+Q65-E65</x:f>
        <x:v>146</x:v>
      </x:c>
      <x:c r="Y65" s="27" t="n">
        <x:f>0</x:f>
        <x:v>0</x:v>
      </x:c>
      <x:c r="Z65" s="27" t="n">
        <x:f>0</x:f>
        <x:v>0</x:v>
      </x:c>
      <x:c r="AA65" s="27" t="n">
        <x:f>AC64</x:f>
        <x:v>17788.400000000005</x:v>
      </x:c>
      <x:c r="AB65" s="18" t="n">
        <x:f>AA65-T65-Y65+Z65</x:f>
        <x:v>17604.840000000004</x:v>
      </x:c>
      <x:c r="AC65" s="18" t="n">
        <x:f>AB65+G65</x:f>
        <x:v>17856.840000000004</x:v>
      </x:c>
      <x:c r="AE65" t="str">
        <x:f>TEXT(A65,"mmm d")</x:f>
        <x:v>Jul 29</x:v>
      </x:c>
      <x:c r="AF65" s="46" t="n">
        <x:f>U65</x:f>
        <x:v>24372</x:v>
      </x:c>
      <x:c r="AG65" s="46" t="n">
        <x:f>V65</x:f>
        <x:v>24015.159999999996</x:v>
      </x:c>
    </x:row>
    <x:row r="66" ht="22" customHeight="1">
      <x:c r="A66" s="23" t="n">
        <x:f>46598</x:f>
        <x:v>46598</x:v>
      </x:c>
      <x:c r="B66" s="24" t="str">
        <x:f>"Friday"</x:f>
        <x:v>Friday</x:v>
      </x:c>
      <x:c r="C66" s="26" t="n">
        <x:f>SUMIFS('Inputs'!$H$40:$H$116,'Inputs'!$F$40:$F$116,B66)*IF(MONTH(A66)=8,1-'Inputs'!$C$23,1)</x:f>
        <x:v>565</x:v>
      </x:c>
      <x:c r="D66" s="25" t="n">
        <x:f>D65+C66</x:f>
        <x:v>46299</x:v>
      </x:c>
      <x:c r="E66" s="19" t="n">
        <x:f>ROUND(D66*'Inputs'!$C$30,0)-F65</x:f>
        <x:v>17</x:v>
      </x:c>
      <x:c r="F66" s="16" t="n">
        <x:f>F65+E66</x:f>
        <x:v>1371</x:v>
      </x:c>
      <x:c r="G66" s="27" t="n">
        <x:f>E66*'Inputs'!$C$5</x:f>
        <x:v>306</x:v>
      </x:c>
      <x:c r="H66" s="27" t="n">
        <x:f>'Inputs'!$C$11*'Inputs'!$C$12</x:f>
        <x:v>176</x:v>
      </x:c>
      <x:c r="I66" s="27" t="n">
        <x:f>IF(AND(DAY(A66)=1,A66&gt;'Inputs'!$C$24),'Inputs'!$C$13,0)</x:f>
        <x:v>0</x:v>
      </x:c>
      <x:c r="J66" s="27" t="n">
        <x:f>IF(DAY(A66)=1,'Inputs'!$C$14,0)</x:f>
        <x:v>0</x:v>
      </x:c>
      <x:c r="K66" s="27" t="n">
        <x:f>IF(DAY(A66)=1,'Inputs'!$C$15,0)</x:f>
        <x:v>0</x:v>
      </x:c>
      <x:c r="L66" s="27" t="n">
        <x:f>IF(DAY(A66)=1,'Inputs'!$C$16,0)</x:f>
        <x:v>0</x:v>
      </x:c>
      <x:c r="M66" s="27" t="n">
        <x:f>0</x:f>
        <x:v>0</x:v>
      </x:c>
      <x:c r="N66" s="27" t="n">
        <x:f>0</x:f>
        <x:v>0</x:v>
      </x:c>
      <x:c r="O66" s="27" t="n">
        <x:f>0</x:f>
        <x:v>0</x:v>
      </x:c>
      <x:c r="P66" s="27" t="n">
        <x:f>0</x:f>
        <x:v>0</x:v>
      </x:c>
      <x:c r="Q66" s="19" t="n">
        <x:f>0</x:f>
        <x:v>0</x:v>
      </x:c>
      <x:c r="R66" s="27" t="n">
        <x:f>Q66*'Inputs'!$C$7</x:f>
        <x:v>0</x:v>
      </x:c>
      <x:c r="S66" s="27" t="n">
        <x:f>G66*'Inputs'!$C$10</x:f>
        <x:v>9.18</x:v>
      </x:c>
      <x:c r="T66" s="18" t="n">
        <x:f>SUM(H66:P66)+SUM(R66:S66)</x:f>
        <x:v>185.18</x:v>
      </x:c>
      <x:c r="U66" s="18" t="n">
        <x:f>U65+G66</x:f>
        <x:v>24678</x:v>
      </x:c>
      <x:c r="V66" s="18" t="n">
        <x:f>V65+T66</x:f>
        <x:v>24200.339999999997</x:v>
      </x:c>
      <x:c r="W66" s="18" t="n">
        <x:f>U66-V66</x:f>
        <x:v>477.6600000000035</x:v>
      </x:c>
      <x:c r="X66" s="16" t="n">
        <x:f>X65+Q66-E66</x:f>
        <x:v>129</x:v>
      </x:c>
      <x:c r="Y66" s="27" t="n">
        <x:f>0</x:f>
        <x:v>0</x:v>
      </x:c>
      <x:c r="Z66" s="27" t="n">
        <x:f>0</x:f>
        <x:v>0</x:v>
      </x:c>
      <x:c r="AA66" s="27" t="n">
        <x:f>AC65</x:f>
        <x:v>17856.840000000004</x:v>
      </x:c>
      <x:c r="AB66" s="18" t="n">
        <x:f>AA66-T66-Y66+Z66</x:f>
        <x:v>17671.660000000003</x:v>
      </x:c>
      <x:c r="AC66" s="18" t="n">
        <x:f>AB66+G66</x:f>
        <x:v>17977.660000000003</x:v>
      </x:c>
      <x:c r="AE66" t="str">
        <x:f>TEXT(A66,"mmm d")</x:f>
        <x:v>Jul 30</x:v>
      </x:c>
      <x:c r="AF66" s="46" t="n">
        <x:f>U66</x:f>
        <x:v>24678</x:v>
      </x:c>
      <x:c r="AG66" s="46" t="n">
        <x:f>V66</x:f>
        <x:v>24200.339999999997</x:v>
      </x:c>
    </x:row>
    <x:row r="67" ht="22" customHeight="1">
      <x:c r="A67" s="23" t="n">
        <x:f>46599</x:f>
        <x:v>46599</x:v>
      </x:c>
      <x:c r="B67" s="24" t="str">
        <x:f>"Saturday"</x:f>
        <x:v>Saturday</x:v>
      </x:c>
      <x:c r="C67" s="26" t="n">
        <x:f>SUMIFS('Inputs'!$H$40:$H$116,'Inputs'!$F$40:$F$116,B67)*IF(MONTH(A67)=8,1-'Inputs'!$C$23,1)</x:f>
        <x:v>1529</x:v>
      </x:c>
      <x:c r="D67" s="25" t="n">
        <x:f>D66+C67</x:f>
        <x:v>47828</x:v>
      </x:c>
      <x:c r="E67" s="19" t="n">
        <x:f>ROUND(D67*'Inputs'!$C$30,0)-F66</x:f>
        <x:v>45</x:v>
      </x:c>
      <x:c r="F67" s="16" t="n">
        <x:f>F66+E67</x:f>
        <x:v>1416</x:v>
      </x:c>
      <x:c r="G67" s="27" t="n">
        <x:f>E67*'Inputs'!$C$5</x:f>
        <x:v>810</x:v>
      </x:c>
      <x:c r="H67" s="27" t="n">
        <x:f>'Inputs'!$C$11*'Inputs'!$C$12</x:f>
        <x:v>176</x:v>
      </x:c>
      <x:c r="I67" s="27" t="n">
        <x:f>IF(AND(DAY(A67)=1,A67&gt;'Inputs'!$C$24),'Inputs'!$C$13,0)</x:f>
        <x:v>0</x:v>
      </x:c>
      <x:c r="J67" s="27" t="n">
        <x:f>IF(DAY(A67)=1,'Inputs'!$C$14,0)</x:f>
        <x:v>0</x:v>
      </x:c>
      <x:c r="K67" s="27" t="n">
        <x:f>IF(DAY(A67)=1,'Inputs'!$C$15,0)</x:f>
        <x:v>0</x:v>
      </x:c>
      <x:c r="L67" s="27" t="n">
        <x:f>IF(DAY(A67)=1,'Inputs'!$C$16,0)</x:f>
        <x:v>0</x:v>
      </x:c>
      <x:c r="M67" s="27" t="n">
        <x:f>0</x:f>
        <x:v>0</x:v>
      </x:c>
      <x:c r="N67" s="27" t="n">
        <x:f>0</x:f>
        <x:v>0</x:v>
      </x:c>
      <x:c r="O67" s="27" t="n">
        <x:f>0</x:f>
        <x:v>0</x:v>
      </x:c>
      <x:c r="P67" s="27" t="n">
        <x:f>0</x:f>
        <x:v>0</x:v>
      </x:c>
      <x:c r="Q67" s="19" t="n">
        <x:f>0</x:f>
        <x:v>0</x:v>
      </x:c>
      <x:c r="R67" s="27" t="n">
        <x:f>Q67*'Inputs'!$C$7</x:f>
        <x:v>0</x:v>
      </x:c>
      <x:c r="S67" s="27" t="n">
        <x:f>G67*'Inputs'!$C$10</x:f>
        <x:v>24.3</x:v>
      </x:c>
      <x:c r="T67" s="18" t="n">
        <x:f>SUM(H67:P67)+SUM(R67:S67)</x:f>
        <x:v>200.3</x:v>
      </x:c>
      <x:c r="U67" s="18" t="n">
        <x:f>U66+G67</x:f>
        <x:v>25488</x:v>
      </x:c>
      <x:c r="V67" s="18" t="n">
        <x:f>V66+T67</x:f>
        <x:v>24400.639999999996</x:v>
      </x:c>
      <x:c r="W67" s="18" t="n">
        <x:f>U67-V67</x:f>
        <x:v>1087.3600000000042</x:v>
      </x:c>
      <x:c r="X67" s="16" t="n">
        <x:f>X66+Q67-E67</x:f>
        <x:v>84</x:v>
      </x:c>
      <x:c r="Y67" s="27" t="n">
        <x:f>0</x:f>
        <x:v>0</x:v>
      </x:c>
      <x:c r="Z67" s="27" t="n">
        <x:f>0</x:f>
        <x:v>0</x:v>
      </x:c>
      <x:c r="AA67" s="27" t="n">
        <x:f>AC66</x:f>
        <x:v>17977.660000000003</x:v>
      </x:c>
      <x:c r="AB67" s="18" t="n">
        <x:f>AA67-T67-Y67+Z67</x:f>
        <x:v>17777.360000000004</x:v>
      </x:c>
      <x:c r="AC67" s="18" t="n">
        <x:f>AB67+G67</x:f>
        <x:v>18587.360000000004</x:v>
      </x:c>
      <x:c r="AE67" t="str">
        <x:f>TEXT(A67,"mmm d")</x:f>
        <x:v>Jul 31</x:v>
      </x:c>
      <x:c r="AF67" s="46" t="n">
        <x:f>U67</x:f>
        <x:v>25488</x:v>
      </x:c>
      <x:c r="AG67" s="46" t="n">
        <x:f>V67</x:f>
        <x:v>24400.639999999996</x:v>
      </x:c>
    </x:row>
    <x:row r="68" ht="22" customHeight="1">
      <x:c r="A68" s="23" t="n">
        <x:f>46600</x:f>
        <x:v>46600</x:v>
      </x:c>
      <x:c r="B68" s="24" t="str">
        <x:f>"Sunday"</x:f>
        <x:v>Sunday</x:v>
      </x:c>
      <x:c r="C68" s="26" t="n">
        <x:f>SUMIFS('Inputs'!$H$40:$H$116,'Inputs'!$F$40:$F$116,B68)*IF(MONTH(A68)=8,1-'Inputs'!$C$23,1)</x:f>
        <x:v>1024.1</x:v>
      </x:c>
      <x:c r="D68" s="25" t="n">
        <x:f>D67+C68</x:f>
        <x:v>48852.1</x:v>
      </x:c>
      <x:c r="E68" s="19" t="n">
        <x:f>ROUND(D68*'Inputs'!$C$30,0)-F67</x:f>
        <x:v>31</x:v>
      </x:c>
      <x:c r="F68" s="16" t="n">
        <x:f>F67+E68</x:f>
        <x:v>1447</x:v>
      </x:c>
      <x:c r="G68" s="27" t="n">
        <x:f>E68*'Inputs'!$C$5</x:f>
        <x:v>558</x:v>
      </x:c>
      <x:c r="H68" s="27" t="n">
        <x:f>'Inputs'!$C$11*'Inputs'!$C$12</x:f>
        <x:v>176</x:v>
      </x:c>
      <x:c r="I68" s="27" t="n">
        <x:f>IF(AND(DAY(A68)=1,A68&gt;'Inputs'!$C$24),'Inputs'!$C$13,0)</x:f>
        <x:v>2500</x:v>
      </x:c>
      <x:c r="J68" s="27" t="n">
        <x:f>IF(DAY(A68)=1,'Inputs'!$C$14,0)</x:f>
        <x:v>45</x:v>
      </x:c>
      <x:c r="K68" s="27" t="n">
        <x:f>IF(DAY(A68)=1,'Inputs'!$C$15,0)</x:f>
        <x:v>100</x:v>
      </x:c>
      <x:c r="L68" s="27" t="n">
        <x:f>IF(DAY(A68)=1,'Inputs'!$C$16,0)</x:f>
        <x:v>80</x:v>
      </x:c>
      <x:c r="M68" s="27" t="n">
        <x:f>0</x:f>
        <x:v>0</x:v>
      </x:c>
      <x:c r="N68" s="27" t="n">
        <x:f>0</x:f>
        <x:v>0</x:v>
      </x:c>
      <x:c r="O68" s="27" t="n">
        <x:f>0</x:f>
        <x:v>0</x:v>
      </x:c>
      <x:c r="P68" s="27" t="n">
        <x:f>0</x:f>
        <x:v>0</x:v>
      </x:c>
      <x:c r="Q68" s="19" t="n">
        <x:f>0</x:f>
        <x:v>0</x:v>
      </x:c>
      <x:c r="R68" s="27" t="n">
        <x:f>Q68*'Inputs'!$C$7</x:f>
        <x:v>0</x:v>
      </x:c>
      <x:c r="S68" s="27" t="n">
        <x:f>G68*'Inputs'!$C$10</x:f>
        <x:v>16.74</x:v>
      </x:c>
      <x:c r="T68" s="18" t="n">
        <x:f>SUM(H68:P68)+SUM(R68:S68)</x:f>
        <x:v>2917.74</x:v>
      </x:c>
      <x:c r="U68" s="18" t="n">
        <x:f>U67+G68</x:f>
        <x:v>26046</x:v>
      </x:c>
      <x:c r="V68" s="18" t="n">
        <x:f>V67+T68</x:f>
        <x:v>27318.379999999997</x:v>
      </x:c>
      <x:c r="W68" s="18" t="n">
        <x:f>U68-V68</x:f>
        <x:v>-1272.3799999999974</x:v>
      </x:c>
      <x:c r="X68" s="16" t="n">
        <x:f>X67+Q68-E68</x:f>
        <x:v>53</x:v>
      </x:c>
      <x:c r="Y68" s="27" t="n">
        <x:f>0</x:f>
        <x:v>0</x:v>
      </x:c>
      <x:c r="Z68" s="27" t="n">
        <x:f>0</x:f>
        <x:v>0</x:v>
      </x:c>
      <x:c r="AA68" s="27" t="n">
        <x:f>AC67</x:f>
        <x:v>18587.360000000004</x:v>
      </x:c>
      <x:c r="AB68" s="18" t="n">
        <x:f>AA68-T68-Y68+Z68</x:f>
        <x:v>15669.620000000004</x:v>
      </x:c>
      <x:c r="AC68" s="18" t="n">
        <x:f>AB68+G68</x:f>
        <x:v>16227.620000000004</x:v>
      </x:c>
      <x:c r="AE68" t="str">
        <x:f>TEXT(A68,"mmm d")</x:f>
        <x:v>Aug 1</x:v>
      </x:c>
      <x:c r="AF68" s="46" t="n">
        <x:f>U68</x:f>
        <x:v>26046</x:v>
      </x:c>
      <x:c r="AG68" s="46" t="n">
        <x:f>V68</x:f>
        <x:v>27318.379999999997</x:v>
      </x:c>
    </x:row>
    <x:row r="69" ht="22" customHeight="1">
      <x:c r="A69" s="23" t="n">
        <x:f>46601</x:f>
        <x:v>46601</x:v>
      </x:c>
      <x:c r="B69" s="24" t="str">
        <x:f>"Monday"</x:f>
        <x:v>Monday</x:v>
      </x:c>
      <x:c r="C69" s="26" t="n">
        <x:f>SUMIFS('Inputs'!$H$40:$H$116,'Inputs'!$F$40:$F$116,B69)*IF(MONTH(A69)=8,1-'Inputs'!$C$23,1)</x:f>
        <x:v>341.59999999999997</x:v>
      </x:c>
      <x:c r="D69" s="25" t="n">
        <x:f>D68+C69</x:f>
        <x:v>49193.7</x:v>
      </x:c>
      <x:c r="E69" s="19" t="n">
        <x:f>ROUND(D69*'Inputs'!$C$30,0)-F68</x:f>
        <x:v>10</x:v>
      </x:c>
      <x:c r="F69" s="16" t="n">
        <x:f>F68+E69</x:f>
        <x:v>1457</x:v>
      </x:c>
      <x:c r="G69" s="27" t="n">
        <x:f>E69*'Inputs'!$C$5</x:f>
        <x:v>180</x:v>
      </x:c>
      <x:c r="H69" s="27" t="n">
        <x:f>'Inputs'!$C$11*'Inputs'!$C$12</x:f>
        <x:v>176</x:v>
      </x:c>
      <x:c r="I69" s="27" t="n">
        <x:f>IF(AND(DAY(A69)=1,A69&gt;'Inputs'!$C$24),'Inputs'!$C$13,0)</x:f>
        <x:v>0</x:v>
      </x:c>
      <x:c r="J69" s="27" t="n">
        <x:f>IF(DAY(A69)=1,'Inputs'!$C$14,0)</x:f>
        <x:v>0</x:v>
      </x:c>
      <x:c r="K69" s="27" t="n">
        <x:f>IF(DAY(A69)=1,'Inputs'!$C$15,0)</x:f>
        <x:v>0</x:v>
      </x:c>
      <x:c r="L69" s="27" t="n">
        <x:f>IF(DAY(A69)=1,'Inputs'!$C$16,0)</x:f>
        <x:v>0</x:v>
      </x:c>
      <x:c r="M69" s="27" t="n">
        <x:f>0</x:f>
        <x:v>0</x:v>
      </x:c>
      <x:c r="N69" s="27" t="n">
        <x:f>0</x:f>
        <x:v>0</x:v>
      </x:c>
      <x:c r="O69" s="27" t="n">
        <x:f>0</x:f>
        <x:v>0</x:v>
      </x:c>
      <x:c r="P69" s="27" t="n">
        <x:f>0</x:f>
        <x:v>0</x:v>
      </x:c>
      <x:c r="Q69" s="19" t="n">
        <x:f>0</x:f>
        <x:v>0</x:v>
      </x:c>
      <x:c r="R69" s="27" t="n">
        <x:f>Q69*'Inputs'!$C$7</x:f>
        <x:v>0</x:v>
      </x:c>
      <x:c r="S69" s="27" t="n">
        <x:f>G69*'Inputs'!$C$10</x:f>
        <x:v>5.3999999999999995</x:v>
      </x:c>
      <x:c r="T69" s="18" t="n">
        <x:f>SUM(H69:P69)+SUM(R69:S69)</x:f>
        <x:v>181.4</x:v>
      </x:c>
      <x:c r="U69" s="18" t="n">
        <x:f>U68+G69</x:f>
        <x:v>26226</x:v>
      </x:c>
      <x:c r="V69" s="18" t="n">
        <x:f>V68+T69</x:f>
        <x:v>27499.78</x:v>
      </x:c>
      <x:c r="W69" s="18" t="n">
        <x:f>U69-V69</x:f>
        <x:v>-1273.7799999999988</x:v>
      </x:c>
      <x:c r="X69" s="16" t="n">
        <x:f>X68+Q69-E69</x:f>
        <x:v>43</x:v>
      </x:c>
      <x:c r="Y69" s="27" t="n">
        <x:f>0</x:f>
        <x:v>0</x:v>
      </x:c>
      <x:c r="Z69" s="27" t="n">
        <x:f>0</x:f>
        <x:v>0</x:v>
      </x:c>
      <x:c r="AA69" s="27" t="n">
        <x:f>AC68</x:f>
        <x:v>16227.620000000004</x:v>
      </x:c>
      <x:c r="AB69" s="18" t="n">
        <x:f>AA69-T69-Y69+Z69</x:f>
        <x:v>16046.220000000005</x:v>
      </x:c>
      <x:c r="AC69" s="18" t="n">
        <x:f>AB69+G69</x:f>
        <x:v>16226.220000000005</x:v>
      </x:c>
      <x:c r="AE69" t="str">
        <x:f>TEXT(A69,"mmm d")</x:f>
        <x:v>Aug 2</x:v>
      </x:c>
      <x:c r="AF69" s="46" t="n">
        <x:f>U69</x:f>
        <x:v>26226</x:v>
      </x:c>
      <x:c r="AG69" s="46" t="n">
        <x:f>V69</x:f>
        <x:v>27499.78</x:v>
      </x:c>
    </x:row>
    <x:row r="70" ht="22" customHeight="1">
      <x:c r="A70" s="23" t="n">
        <x:f>46602</x:f>
        <x:v>46602</x:v>
      </x:c>
      <x:c r="B70" s="24" t="str">
        <x:f>"Tuesday"</x:f>
        <x:v>Tuesday</x:v>
      </x:c>
      <x:c r="C70" s="26" t="n">
        <x:f>SUMIFS('Inputs'!$H$40:$H$116,'Inputs'!$F$40:$F$116,B70)*IF(MONTH(A70)=8,1-'Inputs'!$C$23,1)</x:f>
        <x:v>357</x:v>
      </x:c>
      <x:c r="D70" s="25" t="n">
        <x:f>D69+C70</x:f>
        <x:v>49550.7</x:v>
      </x:c>
      <x:c r="E70" s="19" t="n">
        <x:f>ROUND(D70*'Inputs'!$C$30,0)-F69</x:f>
        <x:v>10</x:v>
      </x:c>
      <x:c r="F70" s="16" t="n">
        <x:f>F69+E70</x:f>
        <x:v>1467</x:v>
      </x:c>
      <x:c r="G70" s="27" t="n">
        <x:f>E70*'Inputs'!$C$5</x:f>
        <x:v>180</x:v>
      </x:c>
      <x:c r="H70" s="27" t="n">
        <x:f>'Inputs'!$C$11*'Inputs'!$C$12</x:f>
        <x:v>176</x:v>
      </x:c>
      <x:c r="I70" s="27" t="n">
        <x:f>IF(AND(DAY(A70)=1,A70&gt;'Inputs'!$C$24),'Inputs'!$C$13,0)</x:f>
        <x:v>0</x:v>
      </x:c>
      <x:c r="J70" s="27" t="n">
        <x:f>IF(DAY(A70)=1,'Inputs'!$C$14,0)</x:f>
        <x:v>0</x:v>
      </x:c>
      <x:c r="K70" s="27" t="n">
        <x:f>IF(DAY(A70)=1,'Inputs'!$C$15,0)</x:f>
        <x:v>0</x:v>
      </x:c>
      <x:c r="L70" s="27" t="n">
        <x:f>IF(DAY(A70)=1,'Inputs'!$C$16,0)</x:f>
        <x:v>0</x:v>
      </x:c>
      <x:c r="M70" s="27" t="n">
        <x:f>0</x:f>
        <x:v>0</x:v>
      </x:c>
      <x:c r="N70" s="27" t="n">
        <x:f>0</x:f>
        <x:v>0</x:v>
      </x:c>
      <x:c r="O70" s="27" t="n">
        <x:f>0</x:f>
        <x:v>0</x:v>
      </x:c>
      <x:c r="P70" s="27" t="n">
        <x:f>0</x:f>
        <x:v>0</x:v>
      </x:c>
      <x:c r="Q70" s="19" t="n">
        <x:f>ROUNDUP(MAX(0,SUM(E70:E76)-X69)/'Inputs'!$C$8,0)*'Inputs'!$C$8</x:f>
        <x:v>100</x:v>
      </x:c>
      <x:c r="R70" s="27" t="n">
        <x:f>Q70*'Inputs'!$C$7</x:f>
        <x:v>400</x:v>
      </x:c>
      <x:c r="S70" s="27" t="n">
        <x:f>G70*'Inputs'!$C$10</x:f>
        <x:v>5.3999999999999995</x:v>
      </x:c>
      <x:c r="T70" s="18" t="n">
        <x:f>SUM(H70:P70)+SUM(R70:S70)</x:f>
        <x:v>581.4</x:v>
      </x:c>
      <x:c r="U70" s="18" t="n">
        <x:f>U69+G70</x:f>
        <x:v>26406</x:v>
      </x:c>
      <x:c r="V70" s="18" t="n">
        <x:f>V69+T70</x:f>
        <x:v>28081.18</x:v>
      </x:c>
      <x:c r="W70" s="18" t="n">
        <x:f>U70-V70</x:f>
        <x:v>-1675.1800000000003</x:v>
      </x:c>
      <x:c r="X70" s="16" t="n">
        <x:f>X69+Q70-E70</x:f>
        <x:v>133</x:v>
      </x:c>
      <x:c r="Y70" s="27" t="n">
        <x:f>0</x:f>
        <x:v>0</x:v>
      </x:c>
      <x:c r="Z70" s="27" t="n">
        <x:f>0</x:f>
        <x:v>0</x:v>
      </x:c>
      <x:c r="AA70" s="27" t="n">
        <x:f>AC69</x:f>
        <x:v>16226.220000000005</x:v>
      </x:c>
      <x:c r="AB70" s="18" t="n">
        <x:f>AA70-T70-Y70+Z70</x:f>
        <x:v>15644.820000000005</x:v>
      </x:c>
      <x:c r="AC70" s="18" t="n">
        <x:f>AB70+G70</x:f>
        <x:v>15824.820000000005</x:v>
      </x:c>
      <x:c r="AE70" t="str">
        <x:f>TEXT(A70,"mmm d")</x:f>
        <x:v>Aug 3</x:v>
      </x:c>
      <x:c r="AF70" s="46" t="n">
        <x:f>U70</x:f>
        <x:v>26406</x:v>
      </x:c>
      <x:c r="AG70" s="46" t="n">
        <x:f>V70</x:f>
        <x:v>28081.18</x:v>
      </x:c>
    </x:row>
    <x:row r="71" ht="22" customHeight="1">
      <x:c r="A71" s="23" t="n">
        <x:f>46603</x:f>
        <x:v>46603</x:v>
      </x:c>
      <x:c r="B71" s="24" t="str">
        <x:f>"Wednesday"</x:f>
        <x:v>Wednesday</x:v>
      </x:c>
      <x:c r="C71" s="26" t="n">
        <x:f>SUMIFS('Inputs'!$H$40:$H$116,'Inputs'!$F$40:$F$116,B71)*IF(MONTH(A71)=8,1-'Inputs'!$C$23,1)</x:f>
        <x:v>341.59999999999997</x:v>
      </x:c>
      <x:c r="D71" s="25" t="n">
        <x:f>D70+C71</x:f>
        <x:v>49892.299999999996</x:v>
      </x:c>
      <x:c r="E71" s="19" t="n">
        <x:f>ROUND(D71*'Inputs'!$C$30,0)-F70</x:f>
        <x:v>10</x:v>
      </x:c>
      <x:c r="F71" s="16" t="n">
        <x:f>F70+E71</x:f>
        <x:v>1477</x:v>
      </x:c>
      <x:c r="G71" s="27" t="n">
        <x:f>E71*'Inputs'!$C$5</x:f>
        <x:v>180</x:v>
      </x:c>
      <x:c r="H71" s="27" t="n">
        <x:f>'Inputs'!$C$11*'Inputs'!$C$12</x:f>
        <x:v>176</x:v>
      </x:c>
      <x:c r="I71" s="27" t="n">
        <x:f>IF(AND(DAY(A71)=1,A71&gt;'Inputs'!$C$24),'Inputs'!$C$13,0)</x:f>
        <x:v>0</x:v>
      </x:c>
      <x:c r="J71" s="27" t="n">
        <x:f>IF(DAY(A71)=1,'Inputs'!$C$14,0)</x:f>
        <x:v>0</x:v>
      </x:c>
      <x:c r="K71" s="27" t="n">
        <x:f>IF(DAY(A71)=1,'Inputs'!$C$15,0)</x:f>
        <x:v>0</x:v>
      </x:c>
      <x:c r="L71" s="27" t="n">
        <x:f>IF(DAY(A71)=1,'Inputs'!$C$16,0)</x:f>
        <x:v>0</x:v>
      </x:c>
      <x:c r="M71" s="27" t="n">
        <x:f>0</x:f>
        <x:v>0</x:v>
      </x:c>
      <x:c r="N71" s="27" t="n">
        <x:f>0</x:f>
        <x:v>0</x:v>
      </x:c>
      <x:c r="O71" s="27" t="n">
        <x:f>0</x:f>
        <x:v>0</x:v>
      </x:c>
      <x:c r="P71" s="27" t="n">
        <x:f>0</x:f>
        <x:v>0</x:v>
      </x:c>
      <x:c r="Q71" s="19" t="n">
        <x:f>0</x:f>
        <x:v>0</x:v>
      </x:c>
      <x:c r="R71" s="27" t="n">
        <x:f>Q71*'Inputs'!$C$7</x:f>
        <x:v>0</x:v>
      </x:c>
      <x:c r="S71" s="27" t="n">
        <x:f>G71*'Inputs'!$C$10</x:f>
        <x:v>5.3999999999999995</x:v>
      </x:c>
      <x:c r="T71" s="18" t="n">
        <x:f>SUM(H71:P71)+SUM(R71:S71)</x:f>
        <x:v>181.4</x:v>
      </x:c>
      <x:c r="U71" s="18" t="n">
        <x:f>U70+G71</x:f>
        <x:v>26586</x:v>
      </x:c>
      <x:c r="V71" s="18" t="n">
        <x:f>V70+T71</x:f>
        <x:v>28262.58</x:v>
      </x:c>
      <x:c r="W71" s="18" t="n">
        <x:f>U71-V71</x:f>
        <x:v>-1676.5800000000017</x:v>
      </x:c>
      <x:c r="X71" s="16" t="n">
        <x:f>X70+Q71-E71</x:f>
        <x:v>123</x:v>
      </x:c>
      <x:c r="Y71" s="27" t="n">
        <x:f>0</x:f>
        <x:v>0</x:v>
      </x:c>
      <x:c r="Z71" s="27" t="n">
        <x:f>0</x:f>
        <x:v>0</x:v>
      </x:c>
      <x:c r="AA71" s="27" t="n">
        <x:f>AC70</x:f>
        <x:v>15824.820000000005</x:v>
      </x:c>
      <x:c r="AB71" s="18" t="n">
        <x:f>AA71-T71-Y71+Z71</x:f>
        <x:v>15643.420000000006</x:v>
      </x:c>
      <x:c r="AC71" s="18" t="n">
        <x:f>AB71+G71</x:f>
        <x:v>15823.420000000006</x:v>
      </x:c>
      <x:c r="AE71" t="str">
        <x:f>TEXT(A71,"mmm d")</x:f>
        <x:v>Aug 4</x:v>
      </x:c>
      <x:c r="AF71" s="46" t="n">
        <x:f>U71</x:f>
        <x:v>26586</x:v>
      </x:c>
      <x:c r="AG71" s="46" t="n">
        <x:f>V71</x:f>
        <x:v>28262.58</x:v>
      </x:c>
    </x:row>
    <x:row r="72" ht="22" customHeight="1">
      <x:c r="A72" s="23" t="n">
        <x:f>46604</x:f>
        <x:v>46604</x:v>
      </x:c>
      <x:c r="B72" s="24" t="str">
        <x:f>"Thursday"</x:f>
        <x:v>Thursday</x:v>
      </x:c>
      <x:c r="C72" s="26" t="n">
        <x:f>SUMIFS('Inputs'!$H$40:$H$116,'Inputs'!$F$40:$F$116,B72)*IF(MONTH(A72)=8,1-'Inputs'!$C$23,1)</x:f>
        <x:v>341.59999999999997</x:v>
      </x:c>
      <x:c r="D72" s="25" t="n">
        <x:f>D71+C72</x:f>
        <x:v>50233.899999999994</x:v>
      </x:c>
      <x:c r="E72" s="19" t="n">
        <x:f>ROUND(D72*'Inputs'!$C$30,0)-F71</x:f>
        <x:v>11</x:v>
      </x:c>
      <x:c r="F72" s="16" t="n">
        <x:f>F71+E72</x:f>
        <x:v>1488</x:v>
      </x:c>
      <x:c r="G72" s="27" t="n">
        <x:f>E72*'Inputs'!$C$5</x:f>
        <x:v>198</x:v>
      </x:c>
      <x:c r="H72" s="27" t="n">
        <x:f>'Inputs'!$C$11*'Inputs'!$C$12</x:f>
        <x:v>176</x:v>
      </x:c>
      <x:c r="I72" s="27" t="n">
        <x:f>IF(AND(DAY(A72)=1,A72&gt;'Inputs'!$C$24),'Inputs'!$C$13,0)</x:f>
        <x:v>0</x:v>
      </x:c>
      <x:c r="J72" s="27" t="n">
        <x:f>IF(DAY(A72)=1,'Inputs'!$C$14,0)</x:f>
        <x:v>0</x:v>
      </x:c>
      <x:c r="K72" s="27" t="n">
        <x:f>IF(DAY(A72)=1,'Inputs'!$C$15,0)</x:f>
        <x:v>0</x:v>
      </x:c>
      <x:c r="L72" s="27" t="n">
        <x:f>IF(DAY(A72)=1,'Inputs'!$C$16,0)</x:f>
        <x:v>0</x:v>
      </x:c>
      <x:c r="M72" s="27" t="n">
        <x:f>0</x:f>
        <x:v>0</x:v>
      </x:c>
      <x:c r="N72" s="27" t="n">
        <x:f>0</x:f>
        <x:v>0</x:v>
      </x:c>
      <x:c r="O72" s="27" t="n">
        <x:f>0</x:f>
        <x:v>0</x:v>
      </x:c>
      <x:c r="P72" s="27" t="n">
        <x:f>0</x:f>
        <x:v>0</x:v>
      </x:c>
      <x:c r="Q72" s="19" t="n">
        <x:f>0</x:f>
        <x:v>0</x:v>
      </x:c>
      <x:c r="R72" s="27" t="n">
        <x:f>Q72*'Inputs'!$C$7</x:f>
        <x:v>0</x:v>
      </x:c>
      <x:c r="S72" s="27" t="n">
        <x:f>G72*'Inputs'!$C$10</x:f>
        <x:v>5.9399999999999995</x:v>
      </x:c>
      <x:c r="T72" s="18" t="n">
        <x:f>SUM(H72:P72)+SUM(R72:S72)</x:f>
        <x:v>181.94</x:v>
      </x:c>
      <x:c r="U72" s="18" t="n">
        <x:f>U71+G72</x:f>
        <x:v>26784</x:v>
      </x:c>
      <x:c r="V72" s="18" t="n">
        <x:f>V71+T72</x:f>
        <x:v>28444.52</x:v>
      </x:c>
      <x:c r="W72" s="18" t="n">
        <x:f>U72-V72</x:f>
        <x:v>-1660.5200000000004</x:v>
      </x:c>
      <x:c r="X72" s="16" t="n">
        <x:f>X71+Q72-E72</x:f>
        <x:v>112</x:v>
      </x:c>
      <x:c r="Y72" s="27" t="n">
        <x:f>0</x:f>
        <x:v>0</x:v>
      </x:c>
      <x:c r="Z72" s="27" t="n">
        <x:f>0</x:f>
        <x:v>0</x:v>
      </x:c>
      <x:c r="AA72" s="27" t="n">
        <x:f>AC71</x:f>
        <x:v>15823.420000000006</x:v>
      </x:c>
      <x:c r="AB72" s="18" t="n">
        <x:f>AA72-T72-Y72+Z72</x:f>
        <x:v>15641.480000000005</x:v>
      </x:c>
      <x:c r="AC72" s="18" t="n">
        <x:f>AB72+G72</x:f>
        <x:v>15839.480000000005</x:v>
      </x:c>
      <x:c r="AE72" t="str">
        <x:f>TEXT(A72,"mmm d")</x:f>
        <x:v>Aug 5</x:v>
      </x:c>
      <x:c r="AF72" s="46" t="n">
        <x:f>U72</x:f>
        <x:v>26784</x:v>
      </x:c>
      <x:c r="AG72" s="46" t="n">
        <x:f>V72</x:f>
        <x:v>28444.52</x:v>
      </x:c>
    </x:row>
    <x:row r="73" ht="22" customHeight="1">
      <x:c r="A73" s="23" t="n">
        <x:f>46605</x:f>
        <x:v>46605</x:v>
      </x:c>
      <x:c r="B73" s="24" t="str">
        <x:f>"Friday"</x:f>
        <x:v>Friday</x:v>
      </x:c>
      <x:c r="C73" s="26" t="n">
        <x:f>SUMIFS('Inputs'!$H$40:$H$116,'Inputs'!$F$40:$F$116,B73)*IF(MONTH(A73)=8,1-'Inputs'!$C$23,1)</x:f>
        <x:v>395.5</x:v>
      </x:c>
      <x:c r="D73" s="25" t="n">
        <x:f>D72+C73</x:f>
        <x:v>50629.399999999994</x:v>
      </x:c>
      <x:c r="E73" s="19" t="n">
        <x:f>ROUND(D73*'Inputs'!$C$30,0)-F72</x:f>
        <x:v>11</x:v>
      </x:c>
      <x:c r="F73" s="16" t="n">
        <x:f>F72+E73</x:f>
        <x:v>1499</x:v>
      </x:c>
      <x:c r="G73" s="27" t="n">
        <x:f>E73*'Inputs'!$C$5</x:f>
        <x:v>198</x:v>
      </x:c>
      <x:c r="H73" s="27" t="n">
        <x:f>'Inputs'!$C$11*'Inputs'!$C$12</x:f>
        <x:v>176</x:v>
      </x:c>
      <x:c r="I73" s="27" t="n">
        <x:f>IF(AND(DAY(A73)=1,A73&gt;'Inputs'!$C$24),'Inputs'!$C$13,0)</x:f>
        <x:v>0</x:v>
      </x:c>
      <x:c r="J73" s="27" t="n">
        <x:f>IF(DAY(A73)=1,'Inputs'!$C$14,0)</x:f>
        <x:v>0</x:v>
      </x:c>
      <x:c r="K73" s="27" t="n">
        <x:f>IF(DAY(A73)=1,'Inputs'!$C$15,0)</x:f>
        <x:v>0</x:v>
      </x:c>
      <x:c r="L73" s="27" t="n">
        <x:f>IF(DAY(A73)=1,'Inputs'!$C$16,0)</x:f>
        <x:v>0</x:v>
      </x:c>
      <x:c r="M73" s="27" t="n">
        <x:f>0</x:f>
        <x:v>0</x:v>
      </x:c>
      <x:c r="N73" s="27" t="n">
        <x:f>0</x:f>
        <x:v>0</x:v>
      </x:c>
      <x:c r="O73" s="27" t="n">
        <x:f>0</x:f>
        <x:v>0</x:v>
      </x:c>
      <x:c r="P73" s="27" t="n">
        <x:f>0</x:f>
        <x:v>0</x:v>
      </x:c>
      <x:c r="Q73" s="19" t="n">
        <x:f>0</x:f>
        <x:v>0</x:v>
      </x:c>
      <x:c r="R73" s="27" t="n">
        <x:f>Q73*'Inputs'!$C$7</x:f>
        <x:v>0</x:v>
      </x:c>
      <x:c r="S73" s="27" t="n">
        <x:f>G73*'Inputs'!$C$10</x:f>
        <x:v>5.9399999999999995</x:v>
      </x:c>
      <x:c r="T73" s="18" t="n">
        <x:f>SUM(H73:P73)+SUM(R73:S73)</x:f>
        <x:v>181.94</x:v>
      </x:c>
      <x:c r="U73" s="18" t="n">
        <x:f>U72+G73</x:f>
        <x:v>26982</x:v>
      </x:c>
      <x:c r="V73" s="18" t="n">
        <x:f>V72+T73</x:f>
        <x:v>28626.46</x:v>
      </x:c>
      <x:c r="W73" s="18" t="n">
        <x:f>U73-V73</x:f>
        <x:v>-1644.4599999999991</x:v>
      </x:c>
      <x:c r="X73" s="16" t="n">
        <x:f>X72+Q73-E73</x:f>
        <x:v>101</x:v>
      </x:c>
      <x:c r="Y73" s="27" t="n">
        <x:f>0</x:f>
        <x:v>0</x:v>
      </x:c>
      <x:c r="Z73" s="27" t="n">
        <x:f>0</x:f>
        <x:v>0</x:v>
      </x:c>
      <x:c r="AA73" s="27" t="n">
        <x:f>AC72</x:f>
        <x:v>15839.480000000005</x:v>
      </x:c>
      <x:c r="AB73" s="18" t="n">
        <x:f>AA73-T73-Y73+Z73</x:f>
        <x:v>15657.540000000005</x:v>
      </x:c>
      <x:c r="AC73" s="18" t="n">
        <x:f>AB73+G73</x:f>
        <x:v>15855.540000000005</x:v>
      </x:c>
      <x:c r="AE73" t="str">
        <x:f>TEXT(A73,"mmm d")</x:f>
        <x:v>Aug 6</x:v>
      </x:c>
      <x:c r="AF73" s="46" t="n">
        <x:f>U73</x:f>
        <x:v>26982</x:v>
      </x:c>
      <x:c r="AG73" s="46" t="n">
        <x:f>V73</x:f>
        <x:v>28626.46</x:v>
      </x:c>
    </x:row>
    <x:row r="74" ht="22" customHeight="1">
      <x:c r="A74" s="23" t="n">
        <x:f>46606</x:f>
        <x:v>46606</x:v>
      </x:c>
      <x:c r="B74" s="24" t="str">
        <x:f>"Saturday"</x:f>
        <x:v>Saturday</x:v>
      </x:c>
      <x:c r="C74" s="26" t="n">
        <x:f>SUMIFS('Inputs'!$H$40:$H$116,'Inputs'!$F$40:$F$116,B74)*IF(MONTH(A74)=8,1-'Inputs'!$C$23,1)</x:f>
        <x:v>1070.3</x:v>
      </x:c>
      <x:c r="D74" s="25" t="n">
        <x:f>D73+C74</x:f>
        <x:v>51699.7</x:v>
      </x:c>
      <x:c r="E74" s="19" t="n">
        <x:f>ROUND(D74*'Inputs'!$C$30,0)-F73</x:f>
        <x:v>32</x:v>
      </x:c>
      <x:c r="F74" s="16" t="n">
        <x:f>F73+E74</x:f>
        <x:v>1531</x:v>
      </x:c>
      <x:c r="G74" s="27" t="n">
        <x:f>E74*'Inputs'!$C$5</x:f>
        <x:v>576</x:v>
      </x:c>
      <x:c r="H74" s="27" t="n">
        <x:f>'Inputs'!$C$11*'Inputs'!$C$12</x:f>
        <x:v>176</x:v>
      </x:c>
      <x:c r="I74" s="27" t="n">
        <x:f>IF(AND(DAY(A74)=1,A74&gt;'Inputs'!$C$24),'Inputs'!$C$13,0)</x:f>
        <x:v>0</x:v>
      </x:c>
      <x:c r="J74" s="27" t="n">
        <x:f>IF(DAY(A74)=1,'Inputs'!$C$14,0)</x:f>
        <x:v>0</x:v>
      </x:c>
      <x:c r="K74" s="27" t="n">
        <x:f>IF(DAY(A74)=1,'Inputs'!$C$15,0)</x:f>
        <x:v>0</x:v>
      </x:c>
      <x:c r="L74" s="27" t="n">
        <x:f>IF(DAY(A74)=1,'Inputs'!$C$16,0)</x:f>
        <x:v>0</x:v>
      </x:c>
      <x:c r="M74" s="27" t="n">
        <x:f>0</x:f>
        <x:v>0</x:v>
      </x:c>
      <x:c r="N74" s="27" t="n">
        <x:f>0</x:f>
        <x:v>0</x:v>
      </x:c>
      <x:c r="O74" s="27" t="n">
        <x:f>0</x:f>
        <x:v>0</x:v>
      </x:c>
      <x:c r="P74" s="27" t="n">
        <x:f>0</x:f>
        <x:v>0</x:v>
      </x:c>
      <x:c r="Q74" s="19" t="n">
        <x:f>0</x:f>
        <x:v>0</x:v>
      </x:c>
      <x:c r="R74" s="27" t="n">
        <x:f>Q74*'Inputs'!$C$7</x:f>
        <x:v>0</x:v>
      </x:c>
      <x:c r="S74" s="27" t="n">
        <x:f>G74*'Inputs'!$C$10</x:f>
        <x:v>17.28</x:v>
      </x:c>
      <x:c r="T74" s="18" t="n">
        <x:f>SUM(H74:P74)+SUM(R74:S74)</x:f>
        <x:v>193.28</x:v>
      </x:c>
      <x:c r="U74" s="18" t="n">
        <x:f>U73+G74</x:f>
        <x:v>27558</x:v>
      </x:c>
      <x:c r="V74" s="18" t="n">
        <x:f>V73+T74</x:f>
        <x:v>28819.739999999998</x:v>
      </x:c>
      <x:c r="W74" s="18" t="n">
        <x:f>U74-V74</x:f>
        <x:v>-1261.739999999998</x:v>
      </x:c>
      <x:c r="X74" s="16" t="n">
        <x:f>X73+Q74-E74</x:f>
        <x:v>69</x:v>
      </x:c>
      <x:c r="Y74" s="27" t="n">
        <x:f>0</x:f>
        <x:v>0</x:v>
      </x:c>
      <x:c r="Z74" s="27" t="n">
        <x:f>0</x:f>
        <x:v>0</x:v>
      </x:c>
      <x:c r="AA74" s="27" t="n">
        <x:f>AC73</x:f>
        <x:v>15855.540000000005</x:v>
      </x:c>
      <x:c r="AB74" s="18" t="n">
        <x:f>AA74-T74-Y74+Z74</x:f>
        <x:v>15662.260000000004</x:v>
      </x:c>
      <x:c r="AC74" s="18" t="n">
        <x:f>AB74+G74</x:f>
        <x:v>16238.260000000004</x:v>
      </x:c>
      <x:c r="AE74" t="str">
        <x:f>TEXT(A74,"mmm d")</x:f>
        <x:v>Aug 7</x:v>
      </x:c>
      <x:c r="AF74" s="46" t="n">
        <x:f>U74</x:f>
        <x:v>27558</x:v>
      </x:c>
      <x:c r="AG74" s="46" t="n">
        <x:f>V74</x:f>
        <x:v>28819.739999999998</x:v>
      </x:c>
    </x:row>
    <x:row r="75" ht="22" customHeight="1">
      <x:c r="A75" s="23" t="n">
        <x:f>46607</x:f>
        <x:v>46607</x:v>
      </x:c>
      <x:c r="B75" s="24" t="str">
        <x:f>"Sunday"</x:f>
        <x:v>Sunday</x:v>
      </x:c>
      <x:c r="C75" s="26" t="n">
        <x:f>SUMIFS('Inputs'!$H$40:$H$116,'Inputs'!$F$40:$F$116,B75)*IF(MONTH(A75)=8,1-'Inputs'!$C$23,1)</x:f>
        <x:v>1024.1</x:v>
      </x:c>
      <x:c r="D75" s="25" t="n">
        <x:f>D74+C75</x:f>
        <x:v>52723.799999999996</x:v>
      </x:c>
      <x:c r="E75" s="19" t="n">
        <x:f>ROUND(D75*'Inputs'!$C$30,0)-F74</x:f>
        <x:v>30</x:v>
      </x:c>
      <x:c r="F75" s="16" t="n">
        <x:f>F74+E75</x:f>
        <x:v>1561</x:v>
      </x:c>
      <x:c r="G75" s="27" t="n">
        <x:f>E75*'Inputs'!$C$5</x:f>
        <x:v>540</x:v>
      </x:c>
      <x:c r="H75" s="27" t="n">
        <x:f>'Inputs'!$C$11*'Inputs'!$C$12</x:f>
        <x:v>176</x:v>
      </x:c>
      <x:c r="I75" s="27" t="n">
        <x:f>IF(AND(DAY(A75)=1,A75&gt;'Inputs'!$C$24),'Inputs'!$C$13,0)</x:f>
        <x:v>0</x:v>
      </x:c>
      <x:c r="J75" s="27" t="n">
        <x:f>IF(DAY(A75)=1,'Inputs'!$C$14,0)</x:f>
        <x:v>0</x:v>
      </x:c>
      <x:c r="K75" s="27" t="n">
        <x:f>IF(DAY(A75)=1,'Inputs'!$C$15,0)</x:f>
        <x:v>0</x:v>
      </x:c>
      <x:c r="L75" s="27" t="n">
        <x:f>IF(DAY(A75)=1,'Inputs'!$C$16,0)</x:f>
        <x:v>0</x:v>
      </x:c>
      <x:c r="M75" s="27" t="n">
        <x:f>0</x:f>
        <x:v>0</x:v>
      </x:c>
      <x:c r="N75" s="27" t="n">
        <x:f>0</x:f>
        <x:v>0</x:v>
      </x:c>
      <x:c r="O75" s="27" t="n">
        <x:f>0</x:f>
        <x:v>0</x:v>
      </x:c>
      <x:c r="P75" s="27" t="n">
        <x:f>0</x:f>
        <x:v>0</x:v>
      </x:c>
      <x:c r="Q75" s="19" t="n">
        <x:f>0</x:f>
        <x:v>0</x:v>
      </x:c>
      <x:c r="R75" s="27" t="n">
        <x:f>Q75*'Inputs'!$C$7</x:f>
        <x:v>0</x:v>
      </x:c>
      <x:c r="S75" s="27" t="n">
        <x:f>G75*'Inputs'!$C$10</x:f>
        <x:v>16.2</x:v>
      </x:c>
      <x:c r="T75" s="18" t="n">
        <x:f>SUM(H75:P75)+SUM(R75:S75)</x:f>
        <x:v>192.2</x:v>
      </x:c>
      <x:c r="U75" s="18" t="n">
        <x:f>U74+G75</x:f>
        <x:v>28098</x:v>
      </x:c>
      <x:c r="V75" s="18" t="n">
        <x:f>V74+T75</x:f>
        <x:v>29011.94</x:v>
      </x:c>
      <x:c r="W75" s="18" t="n">
        <x:f>U75-V75</x:f>
        <x:v>-913.9399999999987</x:v>
      </x:c>
      <x:c r="X75" s="16" t="n">
        <x:f>X74+Q75-E75</x:f>
        <x:v>39</x:v>
      </x:c>
      <x:c r="Y75" s="27" t="n">
        <x:f>0</x:f>
        <x:v>0</x:v>
      </x:c>
      <x:c r="Z75" s="27" t="n">
        <x:f>0</x:f>
        <x:v>0</x:v>
      </x:c>
      <x:c r="AA75" s="27" t="n">
        <x:f>AC74</x:f>
        <x:v>16238.260000000004</x:v>
      </x:c>
      <x:c r="AB75" s="18" t="n">
        <x:f>AA75-T75-Y75+Z75</x:f>
        <x:v>16046.060000000003</x:v>
      </x:c>
      <x:c r="AC75" s="18" t="n">
        <x:f>AB75+G75</x:f>
        <x:v>16586.060000000005</x:v>
      </x:c>
      <x:c r="AE75" t="str">
        <x:f>TEXT(A75,"mmm d")</x:f>
        <x:v>Aug 8</x:v>
      </x:c>
      <x:c r="AF75" s="46" t="n">
        <x:f>U75</x:f>
        <x:v>28098</x:v>
      </x:c>
      <x:c r="AG75" s="46" t="n">
        <x:f>V75</x:f>
        <x:v>29011.94</x:v>
      </x:c>
    </x:row>
    <x:row r="76" ht="22" customHeight="1">
      <x:c r="A76" s="23" t="n">
        <x:f>46608</x:f>
        <x:v>46608</x:v>
      </x:c>
      <x:c r="B76" s="24" t="str">
        <x:f>"Monday"</x:f>
        <x:v>Monday</x:v>
      </x:c>
      <x:c r="C76" s="26" t="n">
        <x:f>SUMIFS('Inputs'!$H$40:$H$116,'Inputs'!$F$40:$F$116,B76)*IF(MONTH(A76)=8,1-'Inputs'!$C$23,1)</x:f>
        <x:v>341.59999999999997</x:v>
      </x:c>
      <x:c r="D76" s="25" t="n">
        <x:f>D75+C76</x:f>
        <x:v>53065.399999999994</x:v>
      </x:c>
      <x:c r="E76" s="19" t="n">
        <x:f>ROUND(D76*'Inputs'!$C$30,0)-F75</x:f>
        <x:v>10</x:v>
      </x:c>
      <x:c r="F76" s="16" t="n">
        <x:f>F75+E76</x:f>
        <x:v>1571</x:v>
      </x:c>
      <x:c r="G76" s="27" t="n">
        <x:f>E76*'Inputs'!$C$5</x:f>
        <x:v>180</x:v>
      </x:c>
      <x:c r="H76" s="27" t="n">
        <x:f>'Inputs'!$C$11*'Inputs'!$C$12</x:f>
        <x:v>176</x:v>
      </x:c>
      <x:c r="I76" s="27" t="n">
        <x:f>IF(AND(DAY(A76)=1,A76&gt;'Inputs'!$C$24),'Inputs'!$C$13,0)</x:f>
        <x:v>0</x:v>
      </x:c>
      <x:c r="J76" s="27" t="n">
        <x:f>IF(DAY(A76)=1,'Inputs'!$C$14,0)</x:f>
        <x:v>0</x:v>
      </x:c>
      <x:c r="K76" s="27" t="n">
        <x:f>IF(DAY(A76)=1,'Inputs'!$C$15,0)</x:f>
        <x:v>0</x:v>
      </x:c>
      <x:c r="L76" s="27" t="n">
        <x:f>IF(DAY(A76)=1,'Inputs'!$C$16,0)</x:f>
        <x:v>0</x:v>
      </x:c>
      <x:c r="M76" s="27" t="n">
        <x:f>0</x:f>
        <x:v>0</x:v>
      </x:c>
      <x:c r="N76" s="27" t="n">
        <x:f>0</x:f>
        <x:v>0</x:v>
      </x:c>
      <x:c r="O76" s="27" t="n">
        <x:f>0</x:f>
        <x:v>0</x:v>
      </x:c>
      <x:c r="P76" s="27" t="n">
        <x:f>0</x:f>
        <x:v>0</x:v>
      </x:c>
      <x:c r="Q76" s="19" t="n">
        <x:f>0</x:f>
        <x:v>0</x:v>
      </x:c>
      <x:c r="R76" s="27" t="n">
        <x:f>Q76*'Inputs'!$C$7</x:f>
        <x:v>0</x:v>
      </x:c>
      <x:c r="S76" s="27" t="n">
        <x:f>G76*'Inputs'!$C$10</x:f>
        <x:v>5.3999999999999995</x:v>
      </x:c>
      <x:c r="T76" s="18" t="n">
        <x:f>SUM(H76:P76)+SUM(R76:S76)</x:f>
        <x:v>181.4</x:v>
      </x:c>
      <x:c r="U76" s="18" t="n">
        <x:f>U75+G76</x:f>
        <x:v>28278</x:v>
      </x:c>
      <x:c r="V76" s="18" t="n">
        <x:f>V75+T76</x:f>
        <x:v>29193.34</x:v>
      </x:c>
      <x:c r="W76" s="18" t="n">
        <x:f>U76-V76</x:f>
        <x:v>-915.3400000000001</x:v>
      </x:c>
      <x:c r="X76" s="16" t="n">
        <x:f>X75+Q76-E76</x:f>
        <x:v>29</x:v>
      </x:c>
      <x:c r="Y76" s="27" t="n">
        <x:f>0</x:f>
        <x:v>0</x:v>
      </x:c>
      <x:c r="Z76" s="27" t="n">
        <x:f>0</x:f>
        <x:v>0</x:v>
      </x:c>
      <x:c r="AA76" s="27" t="n">
        <x:f>AC75</x:f>
        <x:v>16586.060000000005</x:v>
      </x:c>
      <x:c r="AB76" s="18" t="n">
        <x:f>AA76-T76-Y76+Z76</x:f>
        <x:v>16404.660000000003</x:v>
      </x:c>
      <x:c r="AC76" s="18" t="n">
        <x:f>AB76+G76</x:f>
        <x:v>16584.660000000003</x:v>
      </x:c>
      <x:c r="AE76" t="str">
        <x:f>TEXT(A76,"mmm d")</x:f>
        <x:v>Aug 9</x:v>
      </x:c>
      <x:c r="AF76" s="46" t="n">
        <x:f>U76</x:f>
        <x:v>28278</x:v>
      </x:c>
      <x:c r="AG76" s="46" t="n">
        <x:f>V76</x:f>
        <x:v>29193.34</x:v>
      </x:c>
    </x:row>
    <x:row r="77" ht="22" customHeight="1">
      <x:c r="A77" s="23" t="n">
        <x:f>46609</x:f>
        <x:v>46609</x:v>
      </x:c>
      <x:c r="B77" s="24" t="str">
        <x:f>"Tuesday"</x:f>
        <x:v>Tuesday</x:v>
      </x:c>
      <x:c r="C77" s="26" t="n">
        <x:f>SUMIFS('Inputs'!$H$40:$H$116,'Inputs'!$F$40:$F$116,B77)*IF(MONTH(A77)=8,1-'Inputs'!$C$23,1)</x:f>
        <x:v>357</x:v>
      </x:c>
      <x:c r="D77" s="25" t="n">
        <x:f>D76+C77</x:f>
        <x:v>53422.399999999994</x:v>
      </x:c>
      <x:c r="E77" s="19" t="n">
        <x:f>ROUND(D77*'Inputs'!$C$30,0)-F76</x:f>
        <x:v>11</x:v>
      </x:c>
      <x:c r="F77" s="16" t="n">
        <x:f>F76+E77</x:f>
        <x:v>1582</x:v>
      </x:c>
      <x:c r="G77" s="27" t="n">
        <x:f>E77*'Inputs'!$C$5</x:f>
        <x:v>198</x:v>
      </x:c>
      <x:c r="H77" s="27" t="n">
        <x:f>'Inputs'!$C$11*'Inputs'!$C$12</x:f>
        <x:v>176</x:v>
      </x:c>
      <x:c r="I77" s="27" t="n">
        <x:f>IF(AND(DAY(A77)=1,A77&gt;'Inputs'!$C$24),'Inputs'!$C$13,0)</x:f>
        <x:v>0</x:v>
      </x:c>
      <x:c r="J77" s="27" t="n">
        <x:f>IF(DAY(A77)=1,'Inputs'!$C$14,0)</x:f>
        <x:v>0</x:v>
      </x:c>
      <x:c r="K77" s="27" t="n">
        <x:f>IF(DAY(A77)=1,'Inputs'!$C$15,0)</x:f>
        <x:v>0</x:v>
      </x:c>
      <x:c r="L77" s="27" t="n">
        <x:f>IF(DAY(A77)=1,'Inputs'!$C$16,0)</x:f>
        <x:v>0</x:v>
      </x:c>
      <x:c r="M77" s="27" t="n">
        <x:f>0</x:f>
        <x:v>0</x:v>
      </x:c>
      <x:c r="N77" s="27" t="n">
        <x:f>0</x:f>
        <x:v>0</x:v>
      </x:c>
      <x:c r="O77" s="27" t="n">
        <x:f>0</x:f>
        <x:v>0</x:v>
      </x:c>
      <x:c r="P77" s="27" t="n">
        <x:f>0</x:f>
        <x:v>0</x:v>
      </x:c>
      <x:c r="Q77" s="19" t="n">
        <x:f>ROUNDUP(MAX(0,SUM(E77:E83)-X76)/'Inputs'!$C$8,0)*'Inputs'!$C$8</x:f>
        <x:v>100</x:v>
      </x:c>
      <x:c r="R77" s="27" t="n">
        <x:f>Q77*'Inputs'!$C$7</x:f>
        <x:v>400</x:v>
      </x:c>
      <x:c r="S77" s="27" t="n">
        <x:f>G77*'Inputs'!$C$10</x:f>
        <x:v>5.9399999999999995</x:v>
      </x:c>
      <x:c r="T77" s="18" t="n">
        <x:f>SUM(H77:P77)+SUM(R77:S77)</x:f>
        <x:v>581.94</x:v>
      </x:c>
      <x:c r="U77" s="18" t="n">
        <x:f>U76+G77</x:f>
        <x:v>28476</x:v>
      </x:c>
      <x:c r="V77" s="18" t="n">
        <x:f>V76+T77</x:f>
        <x:v>29775.28</x:v>
      </x:c>
      <x:c r="W77" s="18" t="n">
        <x:f>U77-V77</x:f>
        <x:v>-1299.2799999999988</x:v>
      </x:c>
      <x:c r="X77" s="16" t="n">
        <x:f>X76+Q77-E77</x:f>
        <x:v>118</x:v>
      </x:c>
      <x:c r="Y77" s="27" t="n">
        <x:f>0</x:f>
        <x:v>0</x:v>
      </x:c>
      <x:c r="Z77" s="27" t="n">
        <x:f>0</x:f>
        <x:v>0</x:v>
      </x:c>
      <x:c r="AA77" s="27" t="n">
        <x:f>AC76</x:f>
        <x:v>16584.660000000003</x:v>
      </x:c>
      <x:c r="AB77" s="18" t="n">
        <x:f>AA77-T77-Y77+Z77</x:f>
        <x:v>16002.720000000003</x:v>
      </x:c>
      <x:c r="AC77" s="18" t="n">
        <x:f>AB77+G77</x:f>
        <x:v>16200.720000000003</x:v>
      </x:c>
      <x:c r="AE77" t="str">
        <x:f>TEXT(A77,"mmm d")</x:f>
        <x:v>Aug 10</x:v>
      </x:c>
      <x:c r="AF77" s="46" t="n">
        <x:f>U77</x:f>
        <x:v>28476</x:v>
      </x:c>
      <x:c r="AG77" s="46" t="n">
        <x:f>V77</x:f>
        <x:v>29775.28</x:v>
      </x:c>
    </x:row>
    <x:row r="78" ht="22" customHeight="1">
      <x:c r="A78" s="23" t="n">
        <x:f>46610</x:f>
        <x:v>46610</x:v>
      </x:c>
      <x:c r="B78" s="24" t="str">
        <x:f>"Wednesday"</x:f>
        <x:v>Wednesday</x:v>
      </x:c>
      <x:c r="C78" s="26" t="n">
        <x:f>SUMIFS('Inputs'!$H$40:$H$116,'Inputs'!$F$40:$F$116,B78)*IF(MONTH(A78)=8,1-'Inputs'!$C$23,1)</x:f>
        <x:v>341.59999999999997</x:v>
      </x:c>
      <x:c r="D78" s="25" t="n">
        <x:f>D77+C78</x:f>
        <x:v>53763.99999999999</x:v>
      </x:c>
      <x:c r="E78" s="19" t="n">
        <x:f>ROUND(D78*'Inputs'!$C$30,0)-F77</x:f>
        <x:v>10</x:v>
      </x:c>
      <x:c r="F78" s="16" t="n">
        <x:f>F77+E78</x:f>
        <x:v>1592</x:v>
      </x:c>
      <x:c r="G78" s="27" t="n">
        <x:f>E78*'Inputs'!$C$5</x:f>
        <x:v>180</x:v>
      </x:c>
      <x:c r="H78" s="27" t="n">
        <x:f>'Inputs'!$C$11*'Inputs'!$C$12</x:f>
        <x:v>176</x:v>
      </x:c>
      <x:c r="I78" s="27" t="n">
        <x:f>IF(AND(DAY(A78)=1,A78&gt;'Inputs'!$C$24),'Inputs'!$C$13,0)</x:f>
        <x:v>0</x:v>
      </x:c>
      <x:c r="J78" s="27" t="n">
        <x:f>IF(DAY(A78)=1,'Inputs'!$C$14,0)</x:f>
        <x:v>0</x:v>
      </x:c>
      <x:c r="K78" s="27" t="n">
        <x:f>IF(DAY(A78)=1,'Inputs'!$C$15,0)</x:f>
        <x:v>0</x:v>
      </x:c>
      <x:c r="L78" s="27" t="n">
        <x:f>IF(DAY(A78)=1,'Inputs'!$C$16,0)</x:f>
        <x:v>0</x:v>
      </x:c>
      <x:c r="M78" s="27" t="n">
        <x:f>0</x:f>
        <x:v>0</x:v>
      </x:c>
      <x:c r="N78" s="27" t="n">
        <x:f>0</x:f>
        <x:v>0</x:v>
      </x:c>
      <x:c r="O78" s="27" t="n">
        <x:f>0</x:f>
        <x:v>0</x:v>
      </x:c>
      <x:c r="P78" s="27" t="n">
        <x:f>0</x:f>
        <x:v>0</x:v>
      </x:c>
      <x:c r="Q78" s="19" t="n">
        <x:f>0</x:f>
        <x:v>0</x:v>
      </x:c>
      <x:c r="R78" s="27" t="n">
        <x:f>Q78*'Inputs'!$C$7</x:f>
        <x:v>0</x:v>
      </x:c>
      <x:c r="S78" s="27" t="n">
        <x:f>G78*'Inputs'!$C$10</x:f>
        <x:v>5.3999999999999995</x:v>
      </x:c>
      <x:c r="T78" s="18" t="n">
        <x:f>SUM(H78:P78)+SUM(R78:S78)</x:f>
        <x:v>181.4</x:v>
      </x:c>
      <x:c r="U78" s="18" t="n">
        <x:f>U77+G78</x:f>
        <x:v>28656</x:v>
      </x:c>
      <x:c r="V78" s="18" t="n">
        <x:f>V77+T78</x:f>
        <x:v>29956.68</x:v>
      </x:c>
      <x:c r="W78" s="18" t="n">
        <x:f>U78-V78</x:f>
        <x:v>-1300.6800000000003</x:v>
      </x:c>
      <x:c r="X78" s="16" t="n">
        <x:f>X77+Q78-E78</x:f>
        <x:v>108</x:v>
      </x:c>
      <x:c r="Y78" s="27" t="n">
        <x:f>0</x:f>
        <x:v>0</x:v>
      </x:c>
      <x:c r="Z78" s="27" t="n">
        <x:f>0</x:f>
        <x:v>0</x:v>
      </x:c>
      <x:c r="AA78" s="27" t="n">
        <x:f>AC77</x:f>
        <x:v>16200.720000000003</x:v>
      </x:c>
      <x:c r="AB78" s="18" t="n">
        <x:f>AA78-T78-Y78+Z78</x:f>
        <x:v>16019.320000000003</x:v>
      </x:c>
      <x:c r="AC78" s="18" t="n">
        <x:f>AB78+G78</x:f>
        <x:v>16199.320000000003</x:v>
      </x:c>
      <x:c r="AE78" t="str">
        <x:f>TEXT(A78,"mmm d")</x:f>
        <x:v>Aug 11</x:v>
      </x:c>
      <x:c r="AF78" s="46" t="n">
        <x:f>U78</x:f>
        <x:v>28656</x:v>
      </x:c>
      <x:c r="AG78" s="46" t="n">
        <x:f>V78</x:f>
        <x:v>29956.68</x:v>
      </x:c>
    </x:row>
    <x:row r="79" ht="22" customHeight="1">
      <x:c r="A79" s="23" t="n">
        <x:f>46611</x:f>
        <x:v>46611</x:v>
      </x:c>
      <x:c r="B79" s="24" t="str">
        <x:f>"Thursday"</x:f>
        <x:v>Thursday</x:v>
      </x:c>
      <x:c r="C79" s="26" t="n">
        <x:f>SUMIFS('Inputs'!$H$40:$H$116,'Inputs'!$F$40:$F$116,B79)*IF(MONTH(A79)=8,1-'Inputs'!$C$23,1)</x:f>
        <x:v>341.59999999999997</x:v>
      </x:c>
      <x:c r="D79" s="25" t="n">
        <x:f>D78+C79</x:f>
        <x:v>54105.59999999999</x:v>
      </x:c>
      <x:c r="E79" s="19" t="n">
        <x:f>ROUND(D79*'Inputs'!$C$30,0)-F78</x:f>
        <x:v>10</x:v>
      </x:c>
      <x:c r="F79" s="16" t="n">
        <x:f>F78+E79</x:f>
        <x:v>1602</x:v>
      </x:c>
      <x:c r="G79" s="27" t="n">
        <x:f>E79*'Inputs'!$C$5</x:f>
        <x:v>180</x:v>
      </x:c>
      <x:c r="H79" s="27" t="n">
        <x:f>'Inputs'!$C$11*'Inputs'!$C$12</x:f>
        <x:v>176</x:v>
      </x:c>
      <x:c r="I79" s="27" t="n">
        <x:f>IF(AND(DAY(A79)=1,A79&gt;'Inputs'!$C$24),'Inputs'!$C$13,0)</x:f>
        <x:v>0</x:v>
      </x:c>
      <x:c r="J79" s="27" t="n">
        <x:f>IF(DAY(A79)=1,'Inputs'!$C$14,0)</x:f>
        <x:v>0</x:v>
      </x:c>
      <x:c r="K79" s="27" t="n">
        <x:f>IF(DAY(A79)=1,'Inputs'!$C$15,0)</x:f>
        <x:v>0</x:v>
      </x:c>
      <x:c r="L79" s="27" t="n">
        <x:f>IF(DAY(A79)=1,'Inputs'!$C$16,0)</x:f>
        <x:v>0</x:v>
      </x:c>
      <x:c r="M79" s="27" t="n">
        <x:f>0</x:f>
        <x:v>0</x:v>
      </x:c>
      <x:c r="N79" s="27" t="n">
        <x:f>0</x:f>
        <x:v>0</x:v>
      </x:c>
      <x:c r="O79" s="27" t="n">
        <x:f>0</x:f>
        <x:v>0</x:v>
      </x:c>
      <x:c r="P79" s="27" t="n">
        <x:f>0</x:f>
        <x:v>0</x:v>
      </x:c>
      <x:c r="Q79" s="19" t="n">
        <x:f>0</x:f>
        <x:v>0</x:v>
      </x:c>
      <x:c r="R79" s="27" t="n">
        <x:f>Q79*'Inputs'!$C$7</x:f>
        <x:v>0</x:v>
      </x:c>
      <x:c r="S79" s="27" t="n">
        <x:f>G79*'Inputs'!$C$10</x:f>
        <x:v>5.3999999999999995</x:v>
      </x:c>
      <x:c r="T79" s="18" t="n">
        <x:f>SUM(H79:P79)+SUM(R79:S79)</x:f>
        <x:v>181.4</x:v>
      </x:c>
      <x:c r="U79" s="18" t="n">
        <x:f>U78+G79</x:f>
        <x:v>28836</x:v>
      </x:c>
      <x:c r="V79" s="18" t="n">
        <x:f>V78+T79</x:f>
        <x:v>30138.08</x:v>
      </x:c>
      <x:c r="W79" s="18" t="n">
        <x:f>U79-V79</x:f>
        <x:v>-1302.0800000000017</x:v>
      </x:c>
      <x:c r="X79" s="16" t="n">
        <x:f>X78+Q79-E79</x:f>
        <x:v>98</x:v>
      </x:c>
      <x:c r="Y79" s="27" t="n">
        <x:f>0</x:f>
        <x:v>0</x:v>
      </x:c>
      <x:c r="Z79" s="27" t="n">
        <x:f>0</x:f>
        <x:v>0</x:v>
      </x:c>
      <x:c r="AA79" s="27" t="n">
        <x:f>AC78</x:f>
        <x:v>16199.320000000003</x:v>
      </x:c>
      <x:c r="AB79" s="18" t="n">
        <x:f>AA79-T79-Y79+Z79</x:f>
        <x:v>16017.920000000004</x:v>
      </x:c>
      <x:c r="AC79" s="18" t="n">
        <x:f>AB79+G79</x:f>
        <x:v>16197.920000000004</x:v>
      </x:c>
      <x:c r="AE79" t="str">
        <x:f>TEXT(A79,"mmm d")</x:f>
        <x:v>Aug 12</x:v>
      </x:c>
      <x:c r="AF79" s="46" t="n">
        <x:f>U79</x:f>
        <x:v>28836</x:v>
      </x:c>
      <x:c r="AG79" s="46" t="n">
        <x:f>V79</x:f>
        <x:v>30138.08</x:v>
      </x:c>
    </x:row>
    <x:row r="80" ht="22" customHeight="1">
      <x:c r="A80" s="23" t="n">
        <x:f>46612</x:f>
        <x:v>46612</x:v>
      </x:c>
      <x:c r="B80" s="24" t="str">
        <x:f>"Friday"</x:f>
        <x:v>Friday</x:v>
      </x:c>
      <x:c r="C80" s="26" t="n">
        <x:f>SUMIFS('Inputs'!$H$40:$H$116,'Inputs'!$F$40:$F$116,B80)*IF(MONTH(A80)=8,1-'Inputs'!$C$23,1)</x:f>
        <x:v>395.5</x:v>
      </x:c>
      <x:c r="D80" s="25" t="n">
        <x:f>D79+C80</x:f>
        <x:v>54501.09999999999</x:v>
      </x:c>
      <x:c r="E80" s="19" t="n">
        <x:f>ROUND(D80*'Inputs'!$C$30,0)-F79</x:f>
        <x:v>12</x:v>
      </x:c>
      <x:c r="F80" s="16" t="n">
        <x:f>F79+E80</x:f>
        <x:v>1614</x:v>
      </x:c>
      <x:c r="G80" s="27" t="n">
        <x:f>E80*'Inputs'!$C$5</x:f>
        <x:v>216</x:v>
      </x:c>
      <x:c r="H80" s="27" t="n">
        <x:f>'Inputs'!$C$11*'Inputs'!$C$12</x:f>
        <x:v>176</x:v>
      </x:c>
      <x:c r="I80" s="27" t="n">
        <x:f>IF(AND(DAY(A80)=1,A80&gt;'Inputs'!$C$24),'Inputs'!$C$13,0)</x:f>
        <x:v>0</x:v>
      </x:c>
      <x:c r="J80" s="27" t="n">
        <x:f>IF(DAY(A80)=1,'Inputs'!$C$14,0)</x:f>
        <x:v>0</x:v>
      </x:c>
      <x:c r="K80" s="27" t="n">
        <x:f>IF(DAY(A80)=1,'Inputs'!$C$15,0)</x:f>
        <x:v>0</x:v>
      </x:c>
      <x:c r="L80" s="27" t="n">
        <x:f>IF(DAY(A80)=1,'Inputs'!$C$16,0)</x:f>
        <x:v>0</x:v>
      </x:c>
      <x:c r="M80" s="27" t="n">
        <x:f>0</x:f>
        <x:v>0</x:v>
      </x:c>
      <x:c r="N80" s="27" t="n">
        <x:f>0</x:f>
        <x:v>0</x:v>
      </x:c>
      <x:c r="O80" s="27" t="n">
        <x:f>0</x:f>
        <x:v>0</x:v>
      </x:c>
      <x:c r="P80" s="27" t="n">
        <x:f>0</x:f>
        <x:v>0</x:v>
      </x:c>
      <x:c r="Q80" s="19" t="n">
        <x:f>0</x:f>
        <x:v>0</x:v>
      </x:c>
      <x:c r="R80" s="27" t="n">
        <x:f>Q80*'Inputs'!$C$7</x:f>
        <x:v>0</x:v>
      </x:c>
      <x:c r="S80" s="27" t="n">
        <x:f>G80*'Inputs'!$C$10</x:f>
        <x:v>6.4799999999999995</x:v>
      </x:c>
      <x:c r="T80" s="18" t="n">
        <x:f>SUM(H80:P80)+SUM(R80:S80)</x:f>
        <x:v>182.48</x:v>
      </x:c>
      <x:c r="U80" s="18" t="n">
        <x:f>U79+G80</x:f>
        <x:v>29052</x:v>
      </x:c>
      <x:c r="V80" s="18" t="n">
        <x:f>V79+T80</x:f>
        <x:v>30320.56</x:v>
      </x:c>
      <x:c r="W80" s="18" t="n">
        <x:f>U80-V80</x:f>
        <x:v>-1268.5600000000013</x:v>
      </x:c>
      <x:c r="X80" s="16" t="n">
        <x:f>X79+Q80-E80</x:f>
        <x:v>86</x:v>
      </x:c>
      <x:c r="Y80" s="27" t="n">
        <x:f>0</x:f>
        <x:v>0</x:v>
      </x:c>
      <x:c r="Z80" s="27" t="n">
        <x:f>0</x:f>
        <x:v>0</x:v>
      </x:c>
      <x:c r="AA80" s="27" t="n">
        <x:f>AC79</x:f>
        <x:v>16197.920000000004</x:v>
      </x:c>
      <x:c r="AB80" s="18" t="n">
        <x:f>AA80-T80-Y80+Z80</x:f>
        <x:v>16015.440000000004</x:v>
      </x:c>
      <x:c r="AC80" s="18" t="n">
        <x:f>AB80+G80</x:f>
        <x:v>16231.440000000004</x:v>
      </x:c>
      <x:c r="AE80" t="str">
        <x:f>TEXT(A80,"mmm d")</x:f>
        <x:v>Aug 13</x:v>
      </x:c>
      <x:c r="AF80" s="46" t="n">
        <x:f>U80</x:f>
        <x:v>29052</x:v>
      </x:c>
      <x:c r="AG80" s="46" t="n">
        <x:f>V80</x:f>
        <x:v>30320.56</x:v>
      </x:c>
    </x:row>
    <x:row r="81" ht="22" customHeight="1">
      <x:c r="A81" s="23" t="n">
        <x:f>46613</x:f>
        <x:v>46613</x:v>
      </x:c>
      <x:c r="B81" s="24" t="str">
        <x:f>"Saturday"</x:f>
        <x:v>Saturday</x:v>
      </x:c>
      <x:c r="C81" s="26" t="n">
        <x:f>SUMIFS('Inputs'!$H$40:$H$116,'Inputs'!$F$40:$F$116,B81)*IF(MONTH(A81)=8,1-'Inputs'!$C$23,1)</x:f>
        <x:v>1070.3</x:v>
      </x:c>
      <x:c r="D81" s="25" t="n">
        <x:f>D80+C81</x:f>
        <x:v>55571.399999999994</x:v>
      </x:c>
      <x:c r="E81" s="19" t="n">
        <x:f>ROUND(D81*'Inputs'!$C$30,0)-F80</x:f>
        <x:v>32</x:v>
      </x:c>
      <x:c r="F81" s="16" t="n">
        <x:f>F80+E81</x:f>
        <x:v>1646</x:v>
      </x:c>
      <x:c r="G81" s="27" t="n">
        <x:f>E81*'Inputs'!$C$5</x:f>
        <x:v>576</x:v>
      </x:c>
      <x:c r="H81" s="27" t="n">
        <x:f>'Inputs'!$C$11*'Inputs'!$C$12</x:f>
        <x:v>176</x:v>
      </x:c>
      <x:c r="I81" s="27" t="n">
        <x:f>IF(AND(DAY(A81)=1,A81&gt;'Inputs'!$C$24),'Inputs'!$C$13,0)</x:f>
        <x:v>0</x:v>
      </x:c>
      <x:c r="J81" s="27" t="n">
        <x:f>IF(DAY(A81)=1,'Inputs'!$C$14,0)</x:f>
        <x:v>0</x:v>
      </x:c>
      <x:c r="K81" s="27" t="n">
        <x:f>IF(DAY(A81)=1,'Inputs'!$C$15,0)</x:f>
        <x:v>0</x:v>
      </x:c>
      <x:c r="L81" s="27" t="n">
        <x:f>IF(DAY(A81)=1,'Inputs'!$C$16,0)</x:f>
        <x:v>0</x:v>
      </x:c>
      <x:c r="M81" s="27" t="n">
        <x:f>0</x:f>
        <x:v>0</x:v>
      </x:c>
      <x:c r="N81" s="27" t="n">
        <x:f>0</x:f>
        <x:v>0</x:v>
      </x:c>
      <x:c r="O81" s="27" t="n">
        <x:f>0</x:f>
        <x:v>0</x:v>
      </x:c>
      <x:c r="P81" s="27" t="n">
        <x:f>0</x:f>
        <x:v>0</x:v>
      </x:c>
      <x:c r="Q81" s="19" t="n">
        <x:f>0</x:f>
        <x:v>0</x:v>
      </x:c>
      <x:c r="R81" s="27" t="n">
        <x:f>Q81*'Inputs'!$C$7</x:f>
        <x:v>0</x:v>
      </x:c>
      <x:c r="S81" s="27" t="n">
        <x:f>G81*'Inputs'!$C$10</x:f>
        <x:v>17.28</x:v>
      </x:c>
      <x:c r="T81" s="18" t="n">
        <x:f>SUM(H81:P81)+SUM(R81:S81)</x:f>
        <x:v>193.28</x:v>
      </x:c>
      <x:c r="U81" s="18" t="n">
        <x:f>U80+G81</x:f>
        <x:v>29628</x:v>
      </x:c>
      <x:c r="V81" s="18" t="n">
        <x:f>V80+T81</x:f>
        <x:v>30513.84</x:v>
      </x:c>
      <x:c r="W81" s="18" t="n">
        <x:f>U81-V81</x:f>
        <x:v>-885.8400000000001</x:v>
      </x:c>
      <x:c r="X81" s="16" t="n">
        <x:f>X80+Q81-E81</x:f>
        <x:v>54</x:v>
      </x:c>
      <x:c r="Y81" s="27" t="n">
        <x:f>0</x:f>
        <x:v>0</x:v>
      </x:c>
      <x:c r="Z81" s="27" t="n">
        <x:f>0</x:f>
        <x:v>0</x:v>
      </x:c>
      <x:c r="AA81" s="27" t="n">
        <x:f>AC80</x:f>
        <x:v>16231.440000000004</x:v>
      </x:c>
      <x:c r="AB81" s="18" t="n">
        <x:f>AA81-T81-Y81+Z81</x:f>
        <x:v>16038.160000000003</x:v>
      </x:c>
      <x:c r="AC81" s="18" t="n">
        <x:f>AB81+G81</x:f>
        <x:v>16614.160000000003</x:v>
      </x:c>
      <x:c r="AE81" t="str">
        <x:f>TEXT(A81,"mmm d")</x:f>
        <x:v>Aug 14</x:v>
      </x:c>
      <x:c r="AF81" s="46" t="n">
        <x:f>U81</x:f>
        <x:v>29628</x:v>
      </x:c>
      <x:c r="AG81" s="46" t="n">
        <x:f>V81</x:f>
        <x:v>30513.84</x:v>
      </x:c>
    </x:row>
    <x:row r="82" ht="22" customHeight="1">
      <x:c r="A82" s="23" t="n">
        <x:f>46614</x:f>
        <x:v>46614</x:v>
      </x:c>
      <x:c r="B82" s="24" t="str">
        <x:f>"Sunday"</x:f>
        <x:v>Sunday</x:v>
      </x:c>
      <x:c r="C82" s="26" t="n">
        <x:f>SUMIFS('Inputs'!$H$40:$H$116,'Inputs'!$F$40:$F$116,B82)*IF(MONTH(A82)=8,1-'Inputs'!$C$23,1)</x:f>
        <x:v>1024.1</x:v>
      </x:c>
      <x:c r="D82" s="25" t="n">
        <x:f>D81+C82</x:f>
        <x:v>56595.49999999999</x:v>
      </x:c>
      <x:c r="E82" s="19" t="n">
        <x:f>ROUND(D82*'Inputs'!$C$30,0)-F81</x:f>
        <x:v>30</x:v>
      </x:c>
      <x:c r="F82" s="16" t="n">
        <x:f>F81+E82</x:f>
        <x:v>1676</x:v>
      </x:c>
      <x:c r="G82" s="27" t="n">
        <x:f>E82*'Inputs'!$C$5</x:f>
        <x:v>540</x:v>
      </x:c>
      <x:c r="H82" s="27" t="n">
        <x:f>'Inputs'!$C$11*'Inputs'!$C$12</x:f>
        <x:v>176</x:v>
      </x:c>
      <x:c r="I82" s="27" t="n">
        <x:f>IF(AND(DAY(A82)=1,A82&gt;'Inputs'!$C$24),'Inputs'!$C$13,0)</x:f>
        <x:v>0</x:v>
      </x:c>
      <x:c r="J82" s="27" t="n">
        <x:f>IF(DAY(A82)=1,'Inputs'!$C$14,0)</x:f>
        <x:v>0</x:v>
      </x:c>
      <x:c r="K82" s="27" t="n">
        <x:f>IF(DAY(A82)=1,'Inputs'!$C$15,0)</x:f>
        <x:v>0</x:v>
      </x:c>
      <x:c r="L82" s="27" t="n">
        <x:f>IF(DAY(A82)=1,'Inputs'!$C$16,0)</x:f>
        <x:v>0</x:v>
      </x:c>
      <x:c r="M82" s="27" t="n">
        <x:f>0</x:f>
        <x:v>0</x:v>
      </x:c>
      <x:c r="N82" s="27" t="n">
        <x:f>0</x:f>
        <x:v>0</x:v>
      </x:c>
      <x:c r="O82" s="27" t="n">
        <x:f>0</x:f>
        <x:v>0</x:v>
      </x:c>
      <x:c r="P82" s="27" t="n">
        <x:f>0</x:f>
        <x:v>0</x:v>
      </x:c>
      <x:c r="Q82" s="19" t="n">
        <x:f>0</x:f>
        <x:v>0</x:v>
      </x:c>
      <x:c r="R82" s="27" t="n">
        <x:f>Q82*'Inputs'!$C$7</x:f>
        <x:v>0</x:v>
      </x:c>
      <x:c r="S82" s="27" t="n">
        <x:f>G82*'Inputs'!$C$10</x:f>
        <x:v>16.2</x:v>
      </x:c>
      <x:c r="T82" s="18" t="n">
        <x:f>SUM(H82:P82)+SUM(R82:S82)</x:f>
        <x:v>192.2</x:v>
      </x:c>
      <x:c r="U82" s="18" t="n">
        <x:f>U81+G82</x:f>
        <x:v>30168</x:v>
      </x:c>
      <x:c r="V82" s="18" t="n">
        <x:f>V81+T82</x:f>
        <x:v>30706.04</x:v>
      </x:c>
      <x:c r="W82" s="18" t="n">
        <x:f>U82-V82</x:f>
        <x:v>-538.0400000000009</x:v>
      </x:c>
      <x:c r="X82" s="16" t="n">
        <x:f>X81+Q82-E82</x:f>
        <x:v>24</x:v>
      </x:c>
      <x:c r="Y82" s="27" t="n">
        <x:f>0</x:f>
        <x:v>0</x:v>
      </x:c>
      <x:c r="Z82" s="27" t="n">
        <x:f>0</x:f>
        <x:v>0</x:v>
      </x:c>
      <x:c r="AA82" s="27" t="n">
        <x:f>AC81</x:f>
        <x:v>16614.160000000003</x:v>
      </x:c>
      <x:c r="AB82" s="18" t="n">
        <x:f>AA82-T82-Y82+Z82</x:f>
        <x:v>16421.960000000003</x:v>
      </x:c>
      <x:c r="AC82" s="18" t="n">
        <x:f>AB82+G82</x:f>
        <x:v>16961.960000000003</x:v>
      </x:c>
      <x:c r="AE82" t="str">
        <x:f>TEXT(A82,"mmm d")</x:f>
        <x:v>Aug 15</x:v>
      </x:c>
      <x:c r="AF82" s="46" t="n">
        <x:f>U82</x:f>
        <x:v>30168</x:v>
      </x:c>
      <x:c r="AG82" s="46" t="n">
        <x:f>V82</x:f>
        <x:v>30706.04</x:v>
      </x:c>
    </x:row>
    <x:row r="83" ht="22" customHeight="1">
      <x:c r="A83" s="23" t="n">
        <x:f>46615</x:f>
        <x:v>46615</x:v>
      </x:c>
      <x:c r="B83" s="24" t="str">
        <x:f>"Monday"</x:f>
        <x:v>Monday</x:v>
      </x:c>
      <x:c r="C83" s="26" t="n">
        <x:f>SUMIFS('Inputs'!$H$40:$H$116,'Inputs'!$F$40:$F$116,B83)*IF(MONTH(A83)=8,1-'Inputs'!$C$23,1)</x:f>
        <x:v>341.59999999999997</x:v>
      </x:c>
      <x:c r="D83" s="25" t="n">
        <x:f>D82+C83</x:f>
        <x:v>56937.09999999999</x:v>
      </x:c>
      <x:c r="E83" s="19" t="n">
        <x:f>ROUND(D83*'Inputs'!$C$30,0)-F82</x:f>
        <x:v>10</x:v>
      </x:c>
      <x:c r="F83" s="16" t="n">
        <x:f>F82+E83</x:f>
        <x:v>1686</x:v>
      </x:c>
      <x:c r="G83" s="27" t="n">
        <x:f>E83*'Inputs'!$C$5</x:f>
        <x:v>180</x:v>
      </x:c>
      <x:c r="H83" s="27" t="n">
        <x:f>'Inputs'!$C$11*'Inputs'!$C$12</x:f>
        <x:v>176</x:v>
      </x:c>
      <x:c r="I83" s="27" t="n">
        <x:f>IF(AND(DAY(A83)=1,A83&gt;'Inputs'!$C$24),'Inputs'!$C$13,0)</x:f>
        <x:v>0</x:v>
      </x:c>
      <x:c r="J83" s="27" t="n">
        <x:f>IF(DAY(A83)=1,'Inputs'!$C$14,0)</x:f>
        <x:v>0</x:v>
      </x:c>
      <x:c r="K83" s="27" t="n">
        <x:f>IF(DAY(A83)=1,'Inputs'!$C$15,0)</x:f>
        <x:v>0</x:v>
      </x:c>
      <x:c r="L83" s="27" t="n">
        <x:f>IF(DAY(A83)=1,'Inputs'!$C$16,0)</x:f>
        <x:v>0</x:v>
      </x:c>
      <x:c r="M83" s="27" t="n">
        <x:f>0</x:f>
        <x:v>0</x:v>
      </x:c>
      <x:c r="N83" s="27" t="n">
        <x:f>0</x:f>
        <x:v>0</x:v>
      </x:c>
      <x:c r="O83" s="27" t="n">
        <x:f>0</x:f>
        <x:v>0</x:v>
      </x:c>
      <x:c r="P83" s="27" t="n">
        <x:f>0</x:f>
        <x:v>0</x:v>
      </x:c>
      <x:c r="Q83" s="19" t="n">
        <x:f>0</x:f>
        <x:v>0</x:v>
      </x:c>
      <x:c r="R83" s="27" t="n">
        <x:f>Q83*'Inputs'!$C$7</x:f>
        <x:v>0</x:v>
      </x:c>
      <x:c r="S83" s="27" t="n">
        <x:f>G83*'Inputs'!$C$10</x:f>
        <x:v>5.3999999999999995</x:v>
      </x:c>
      <x:c r="T83" s="18" t="n">
        <x:f>SUM(H83:P83)+SUM(R83:S83)</x:f>
        <x:v>181.4</x:v>
      </x:c>
      <x:c r="U83" s="18" t="n">
        <x:f>U82+G83</x:f>
        <x:v>30348</x:v>
      </x:c>
      <x:c r="V83" s="18" t="n">
        <x:f>V82+T83</x:f>
        <x:v>30887.440000000002</x:v>
      </x:c>
      <x:c r="W83" s="18" t="n">
        <x:f>U83-V83</x:f>
        <x:v>-539.4400000000023</x:v>
      </x:c>
      <x:c r="X83" s="16" t="n">
        <x:f>X82+Q83-E83</x:f>
        <x:v>14</x:v>
      </x:c>
      <x:c r="Y83" s="27" t="n">
        <x:f>0</x:f>
        <x:v>0</x:v>
      </x:c>
      <x:c r="Z83" s="27" t="n">
        <x:f>0</x:f>
        <x:v>0</x:v>
      </x:c>
      <x:c r="AA83" s="27" t="n">
        <x:f>AC82</x:f>
        <x:v>16961.960000000003</x:v>
      </x:c>
      <x:c r="AB83" s="18" t="n">
        <x:f>AA83-T83-Y83+Z83</x:f>
        <x:v>16780.56</x:v>
      </x:c>
      <x:c r="AC83" s="18" t="n">
        <x:f>AB83+G83</x:f>
        <x:v>16960.56</x:v>
      </x:c>
      <x:c r="AE83" t="str">
        <x:f>TEXT(A83,"mmm d")</x:f>
        <x:v>Aug 16</x:v>
      </x:c>
      <x:c r="AF83" s="46" t="n">
        <x:f>U83</x:f>
        <x:v>30348</x:v>
      </x:c>
      <x:c r="AG83" s="46" t="n">
        <x:f>V83</x:f>
        <x:v>30887.440000000002</x:v>
      </x:c>
    </x:row>
    <x:row r="84" ht="22" customHeight="1">
      <x:c r="A84" s="23" t="n">
        <x:f>46616</x:f>
        <x:v>46616</x:v>
      </x:c>
      <x:c r="B84" s="24" t="str">
        <x:f>"Tuesday"</x:f>
        <x:v>Tuesday</x:v>
      </x:c>
      <x:c r="C84" s="26" t="n">
        <x:f>SUMIFS('Inputs'!$H$40:$H$116,'Inputs'!$F$40:$F$116,B84)*IF(MONTH(A84)=8,1-'Inputs'!$C$23,1)</x:f>
        <x:v>357</x:v>
      </x:c>
      <x:c r="D84" s="25" t="n">
        <x:f>D83+C84</x:f>
        <x:v>57294.09999999999</x:v>
      </x:c>
      <x:c r="E84" s="19" t="n">
        <x:f>ROUND(D84*'Inputs'!$C$30,0)-F83</x:f>
        <x:v>11</x:v>
      </x:c>
      <x:c r="F84" s="16" t="n">
        <x:f>F83+E84</x:f>
        <x:v>1697</x:v>
      </x:c>
      <x:c r="G84" s="27" t="n">
        <x:f>E84*'Inputs'!$C$5</x:f>
        <x:v>198</x:v>
      </x:c>
      <x:c r="H84" s="27" t="n">
        <x:f>'Inputs'!$C$11*'Inputs'!$C$12</x:f>
        <x:v>176</x:v>
      </x:c>
      <x:c r="I84" s="27" t="n">
        <x:f>IF(AND(DAY(A84)=1,A84&gt;'Inputs'!$C$24),'Inputs'!$C$13,0)</x:f>
        <x:v>0</x:v>
      </x:c>
      <x:c r="J84" s="27" t="n">
        <x:f>IF(DAY(A84)=1,'Inputs'!$C$14,0)</x:f>
        <x:v>0</x:v>
      </x:c>
      <x:c r="K84" s="27" t="n">
        <x:f>IF(DAY(A84)=1,'Inputs'!$C$15,0)</x:f>
        <x:v>0</x:v>
      </x:c>
      <x:c r="L84" s="27" t="n">
        <x:f>IF(DAY(A84)=1,'Inputs'!$C$16,0)</x:f>
        <x:v>0</x:v>
      </x:c>
      <x:c r="M84" s="27" t="n">
        <x:f>0</x:f>
        <x:v>0</x:v>
      </x:c>
      <x:c r="N84" s="27" t="n">
        <x:f>0</x:f>
        <x:v>0</x:v>
      </x:c>
      <x:c r="O84" s="27" t="n">
        <x:f>0</x:f>
        <x:v>0</x:v>
      </x:c>
      <x:c r="P84" s="27" t="n">
        <x:f>0</x:f>
        <x:v>0</x:v>
      </x:c>
      <x:c r="Q84" s="19" t="n">
        <x:f>ROUNDUP(MAX(0,SUM(E84:E90)-X83)/'Inputs'!$C$8,0)*'Inputs'!$C$8</x:f>
        <x:v>150</x:v>
      </x:c>
      <x:c r="R84" s="27" t="n">
        <x:f>Q84*'Inputs'!$C$7</x:f>
        <x:v>600</x:v>
      </x:c>
      <x:c r="S84" s="27" t="n">
        <x:f>G84*'Inputs'!$C$10</x:f>
        <x:v>5.9399999999999995</x:v>
      </x:c>
      <x:c r="T84" s="18" t="n">
        <x:f>SUM(H84:P84)+SUM(R84:S84)</x:f>
        <x:v>781.94</x:v>
      </x:c>
      <x:c r="U84" s="18" t="n">
        <x:f>U83+G84</x:f>
        <x:v>30546</x:v>
      </x:c>
      <x:c r="V84" s="18" t="n">
        <x:f>V83+T84</x:f>
        <x:v>31669.38</x:v>
      </x:c>
      <x:c r="W84" s="18" t="n">
        <x:f>U84-V84</x:f>
        <x:v>-1123.380000000001</x:v>
      </x:c>
      <x:c r="X84" s="16" t="n">
        <x:f>X83+Q84-E84</x:f>
        <x:v>153</x:v>
      </x:c>
      <x:c r="Y84" s="27" t="n">
        <x:f>0</x:f>
        <x:v>0</x:v>
      </x:c>
      <x:c r="Z84" s="27" t="n">
        <x:f>0</x:f>
        <x:v>0</x:v>
      </x:c>
      <x:c r="AA84" s="27" t="n">
        <x:f>AC83</x:f>
        <x:v>16960.56</x:v>
      </x:c>
      <x:c r="AB84" s="18" t="n">
        <x:f>AA84-T84-Y84+Z84</x:f>
        <x:v>16178.62</x:v>
      </x:c>
      <x:c r="AC84" s="18" t="n">
        <x:f>AB84+G84</x:f>
        <x:v>16376.62</x:v>
      </x:c>
      <x:c r="AE84" t="str">
        <x:f>TEXT(A84,"mmm d")</x:f>
        <x:v>Aug 17</x:v>
      </x:c>
      <x:c r="AF84" s="46" t="n">
        <x:f>U84</x:f>
        <x:v>30546</x:v>
      </x:c>
      <x:c r="AG84" s="46" t="n">
        <x:f>V84</x:f>
        <x:v>31669.38</x:v>
      </x:c>
    </x:row>
    <x:row r="85" ht="22" customHeight="1">
      <x:c r="A85" s="23" t="n">
        <x:f>46617</x:f>
        <x:v>46617</x:v>
      </x:c>
      <x:c r="B85" s="24" t="str">
        <x:f>"Wednesday"</x:f>
        <x:v>Wednesday</x:v>
      </x:c>
      <x:c r="C85" s="26" t="n">
        <x:f>SUMIFS('Inputs'!$H$40:$H$116,'Inputs'!$F$40:$F$116,B85)*IF(MONTH(A85)=8,1-'Inputs'!$C$23,1)</x:f>
        <x:v>341.59999999999997</x:v>
      </x:c>
      <x:c r="D85" s="25" t="n">
        <x:f>D84+C85</x:f>
        <x:v>57635.69999999999</x:v>
      </x:c>
      <x:c r="E85" s="19" t="n">
        <x:f>ROUND(D85*'Inputs'!$C$30,0)-F84</x:f>
        <x:v>10</x:v>
      </x:c>
      <x:c r="F85" s="16" t="n">
        <x:f>F84+E85</x:f>
        <x:v>1707</x:v>
      </x:c>
      <x:c r="G85" s="27" t="n">
        <x:f>E85*'Inputs'!$C$5</x:f>
        <x:v>180</x:v>
      </x:c>
      <x:c r="H85" s="27" t="n">
        <x:f>'Inputs'!$C$11*'Inputs'!$C$12</x:f>
        <x:v>176</x:v>
      </x:c>
      <x:c r="I85" s="27" t="n">
        <x:f>IF(AND(DAY(A85)=1,A85&gt;'Inputs'!$C$24),'Inputs'!$C$13,0)</x:f>
        <x:v>0</x:v>
      </x:c>
      <x:c r="J85" s="27" t="n">
        <x:f>IF(DAY(A85)=1,'Inputs'!$C$14,0)</x:f>
        <x:v>0</x:v>
      </x:c>
      <x:c r="K85" s="27" t="n">
        <x:f>IF(DAY(A85)=1,'Inputs'!$C$15,0)</x:f>
        <x:v>0</x:v>
      </x:c>
      <x:c r="L85" s="27" t="n">
        <x:f>IF(DAY(A85)=1,'Inputs'!$C$16,0)</x:f>
        <x:v>0</x:v>
      </x:c>
      <x:c r="M85" s="27" t="n">
        <x:f>0</x:f>
        <x:v>0</x:v>
      </x:c>
      <x:c r="N85" s="27" t="n">
        <x:f>0</x:f>
        <x:v>0</x:v>
      </x:c>
      <x:c r="O85" s="27" t="n">
        <x:f>0</x:f>
        <x:v>0</x:v>
      </x:c>
      <x:c r="P85" s="27" t="n">
        <x:f>0</x:f>
        <x:v>0</x:v>
      </x:c>
      <x:c r="Q85" s="19" t="n">
        <x:f>0</x:f>
        <x:v>0</x:v>
      </x:c>
      <x:c r="R85" s="27" t="n">
        <x:f>Q85*'Inputs'!$C$7</x:f>
        <x:v>0</x:v>
      </x:c>
      <x:c r="S85" s="27" t="n">
        <x:f>G85*'Inputs'!$C$10</x:f>
        <x:v>5.3999999999999995</x:v>
      </x:c>
      <x:c r="T85" s="18" t="n">
        <x:f>SUM(H85:P85)+SUM(R85:S85)</x:f>
        <x:v>181.4</x:v>
      </x:c>
      <x:c r="U85" s="18" t="n">
        <x:f>U84+G85</x:f>
        <x:v>30726</x:v>
      </x:c>
      <x:c r="V85" s="18" t="n">
        <x:f>V84+T85</x:f>
        <x:v>31850.780000000002</x:v>
      </x:c>
      <x:c r="W85" s="18" t="n">
        <x:f>U85-V85</x:f>
        <x:v>-1124.7800000000025</x:v>
      </x:c>
      <x:c r="X85" s="16" t="n">
        <x:f>X84+Q85-E85</x:f>
        <x:v>143</x:v>
      </x:c>
      <x:c r="Y85" s="27" t="n">
        <x:f>0</x:f>
        <x:v>0</x:v>
      </x:c>
      <x:c r="Z85" s="27" t="n">
        <x:f>0</x:f>
        <x:v>0</x:v>
      </x:c>
      <x:c r="AA85" s="27" t="n">
        <x:f>AC84</x:f>
        <x:v>16376.62</x:v>
      </x:c>
      <x:c r="AB85" s="18" t="n">
        <x:f>AA85-T85-Y85+Z85</x:f>
        <x:v>16195.220000000001</x:v>
      </x:c>
      <x:c r="AC85" s="18" t="n">
        <x:f>AB85+G85</x:f>
        <x:v>16375.220000000001</x:v>
      </x:c>
      <x:c r="AE85" t="str">
        <x:f>TEXT(A85,"mmm d")</x:f>
        <x:v>Aug 18</x:v>
      </x:c>
      <x:c r="AF85" s="46" t="n">
        <x:f>U85</x:f>
        <x:v>30726</x:v>
      </x:c>
      <x:c r="AG85" s="46" t="n">
        <x:f>V85</x:f>
        <x:v>31850.780000000002</x:v>
      </x:c>
    </x:row>
    <x:row r="86" ht="22" customHeight="1">
      <x:c r="A86" s="23" t="n">
        <x:f>46618</x:f>
        <x:v>46618</x:v>
      </x:c>
      <x:c r="B86" s="24" t="str">
        <x:f>"Thursday"</x:f>
        <x:v>Thursday</x:v>
      </x:c>
      <x:c r="C86" s="26" t="n">
        <x:f>SUMIFS('Inputs'!$H$40:$H$116,'Inputs'!$F$40:$F$116,B86)*IF(MONTH(A86)=8,1-'Inputs'!$C$23,1)</x:f>
        <x:v>341.59999999999997</x:v>
      </x:c>
      <x:c r="D86" s="25" t="n">
        <x:f>D85+C86</x:f>
        <x:v>57977.29999999999</x:v>
      </x:c>
      <x:c r="E86" s="19" t="n">
        <x:f>ROUND(D86*'Inputs'!$C$30,0)-F85</x:f>
        <x:v>10</x:v>
      </x:c>
      <x:c r="F86" s="16" t="n">
        <x:f>F85+E86</x:f>
        <x:v>1717</x:v>
      </x:c>
      <x:c r="G86" s="27" t="n">
        <x:f>E86*'Inputs'!$C$5</x:f>
        <x:v>180</x:v>
      </x:c>
      <x:c r="H86" s="27" t="n">
        <x:f>'Inputs'!$C$11*'Inputs'!$C$12</x:f>
        <x:v>176</x:v>
      </x:c>
      <x:c r="I86" s="27" t="n">
        <x:f>IF(AND(DAY(A86)=1,A86&gt;'Inputs'!$C$24),'Inputs'!$C$13,0)</x:f>
        <x:v>0</x:v>
      </x:c>
      <x:c r="J86" s="27" t="n">
        <x:f>IF(DAY(A86)=1,'Inputs'!$C$14,0)</x:f>
        <x:v>0</x:v>
      </x:c>
      <x:c r="K86" s="27" t="n">
        <x:f>IF(DAY(A86)=1,'Inputs'!$C$15,0)</x:f>
        <x:v>0</x:v>
      </x:c>
      <x:c r="L86" s="27" t="n">
        <x:f>IF(DAY(A86)=1,'Inputs'!$C$16,0)</x:f>
        <x:v>0</x:v>
      </x:c>
      <x:c r="M86" s="27" t="n">
        <x:f>0</x:f>
        <x:v>0</x:v>
      </x:c>
      <x:c r="N86" s="27" t="n">
        <x:f>0</x:f>
        <x:v>0</x:v>
      </x:c>
      <x:c r="O86" s="27" t="n">
        <x:f>0</x:f>
        <x:v>0</x:v>
      </x:c>
      <x:c r="P86" s="27" t="n">
        <x:f>0</x:f>
        <x:v>0</x:v>
      </x:c>
      <x:c r="Q86" s="19" t="n">
        <x:f>0</x:f>
        <x:v>0</x:v>
      </x:c>
      <x:c r="R86" s="27" t="n">
        <x:f>Q86*'Inputs'!$C$7</x:f>
        <x:v>0</x:v>
      </x:c>
      <x:c r="S86" s="27" t="n">
        <x:f>G86*'Inputs'!$C$10</x:f>
        <x:v>5.3999999999999995</x:v>
      </x:c>
      <x:c r="T86" s="18" t="n">
        <x:f>SUM(H86:P86)+SUM(R86:S86)</x:f>
        <x:v>181.4</x:v>
      </x:c>
      <x:c r="U86" s="18" t="n">
        <x:f>U85+G86</x:f>
        <x:v>30906</x:v>
      </x:c>
      <x:c r="V86" s="18" t="n">
        <x:f>V85+T86</x:f>
        <x:v>32032.180000000004</x:v>
      </x:c>
      <x:c r="W86" s="18" t="n">
        <x:f>U86-V86</x:f>
        <x:v>-1126.180000000004</x:v>
      </x:c>
      <x:c r="X86" s="16" t="n">
        <x:f>X85+Q86-E86</x:f>
        <x:v>133</x:v>
      </x:c>
      <x:c r="Y86" s="27" t="n">
        <x:f>0</x:f>
        <x:v>0</x:v>
      </x:c>
      <x:c r="Z86" s="27" t="n">
        <x:f>0</x:f>
        <x:v>0</x:v>
      </x:c>
      <x:c r="AA86" s="27" t="n">
        <x:f>AC85</x:f>
        <x:v>16375.220000000001</x:v>
      </x:c>
      <x:c r="AB86" s="18" t="n">
        <x:f>AA86-T86-Y86+Z86</x:f>
        <x:v>16193.820000000002</x:v>
      </x:c>
      <x:c r="AC86" s="18" t="n">
        <x:f>AB86+G86</x:f>
        <x:v>16373.820000000002</x:v>
      </x:c>
      <x:c r="AE86" t="str">
        <x:f>TEXT(A86,"mmm d")</x:f>
        <x:v>Aug 19</x:v>
      </x:c>
      <x:c r="AF86" s="46" t="n">
        <x:f>U86</x:f>
        <x:v>30906</x:v>
      </x:c>
      <x:c r="AG86" s="46" t="n">
        <x:f>V86</x:f>
        <x:v>32032.180000000004</x:v>
      </x:c>
    </x:row>
    <x:row r="87" ht="22" customHeight="1">
      <x:c r="A87" s="23" t="n">
        <x:f>46619</x:f>
        <x:v>46619</x:v>
      </x:c>
      <x:c r="B87" s="24" t="str">
        <x:f>"Friday"</x:f>
        <x:v>Friday</x:v>
      </x:c>
      <x:c r="C87" s="26" t="n">
        <x:f>SUMIFS('Inputs'!$H$40:$H$116,'Inputs'!$F$40:$F$116,B87)*IF(MONTH(A87)=8,1-'Inputs'!$C$23,1)</x:f>
        <x:v>395.5</x:v>
      </x:c>
      <x:c r="D87" s="25" t="n">
        <x:f>D86+C87</x:f>
        <x:v>58372.79999999999</x:v>
      </x:c>
      <x:c r="E87" s="19" t="n">
        <x:f>ROUND(D87*'Inputs'!$C$30,0)-F86</x:f>
        <x:v>12</x:v>
      </x:c>
      <x:c r="F87" s="16" t="n">
        <x:f>F86+E87</x:f>
        <x:v>1729</x:v>
      </x:c>
      <x:c r="G87" s="27" t="n">
        <x:f>E87*'Inputs'!$C$5</x:f>
        <x:v>216</x:v>
      </x:c>
      <x:c r="H87" s="27" t="n">
        <x:f>'Inputs'!$C$11*'Inputs'!$C$12</x:f>
        <x:v>176</x:v>
      </x:c>
      <x:c r="I87" s="27" t="n">
        <x:f>IF(AND(DAY(A87)=1,A87&gt;'Inputs'!$C$24),'Inputs'!$C$13,0)</x:f>
        <x:v>0</x:v>
      </x:c>
      <x:c r="J87" s="27" t="n">
        <x:f>IF(DAY(A87)=1,'Inputs'!$C$14,0)</x:f>
        <x:v>0</x:v>
      </x:c>
      <x:c r="K87" s="27" t="n">
        <x:f>IF(DAY(A87)=1,'Inputs'!$C$15,0)</x:f>
        <x:v>0</x:v>
      </x:c>
      <x:c r="L87" s="27" t="n">
        <x:f>IF(DAY(A87)=1,'Inputs'!$C$16,0)</x:f>
        <x:v>0</x:v>
      </x:c>
      <x:c r="M87" s="27" t="n">
        <x:f>0</x:f>
        <x:v>0</x:v>
      </x:c>
      <x:c r="N87" s="27" t="n">
        <x:f>0</x:f>
        <x:v>0</x:v>
      </x:c>
      <x:c r="O87" s="27" t="n">
        <x:f>0</x:f>
        <x:v>0</x:v>
      </x:c>
      <x:c r="P87" s="27" t="n">
        <x:f>0</x:f>
        <x:v>0</x:v>
      </x:c>
      <x:c r="Q87" s="19" t="n">
        <x:f>0</x:f>
        <x:v>0</x:v>
      </x:c>
      <x:c r="R87" s="27" t="n">
        <x:f>Q87*'Inputs'!$C$7</x:f>
        <x:v>0</x:v>
      </x:c>
      <x:c r="S87" s="27" t="n">
        <x:f>G87*'Inputs'!$C$10</x:f>
        <x:v>6.4799999999999995</x:v>
      </x:c>
      <x:c r="T87" s="18" t="n">
        <x:f>SUM(H87:P87)+SUM(R87:S87)</x:f>
        <x:v>182.48</x:v>
      </x:c>
      <x:c r="U87" s="18" t="n">
        <x:f>U86+G87</x:f>
        <x:v>31122</x:v>
      </x:c>
      <x:c r="V87" s="18" t="n">
        <x:f>V86+T87</x:f>
        <x:v>32214.660000000003</x:v>
      </x:c>
      <x:c r="W87" s="18" t="n">
        <x:f>U87-V87</x:f>
        <x:v>-1092.6600000000035</x:v>
      </x:c>
      <x:c r="X87" s="16" t="n">
        <x:f>X86+Q87-E87</x:f>
        <x:v>121</x:v>
      </x:c>
      <x:c r="Y87" s="27" t="n">
        <x:f>0</x:f>
        <x:v>0</x:v>
      </x:c>
      <x:c r="Z87" s="27" t="n">
        <x:f>0</x:f>
        <x:v>0</x:v>
      </x:c>
      <x:c r="AA87" s="27" t="n">
        <x:f>AC86</x:f>
        <x:v>16373.820000000002</x:v>
      </x:c>
      <x:c r="AB87" s="18" t="n">
        <x:f>AA87-T87-Y87+Z87</x:f>
        <x:v>16191.340000000002</x:v>
      </x:c>
      <x:c r="AC87" s="18" t="n">
        <x:f>AB87+G87</x:f>
        <x:v>16407.340000000004</x:v>
      </x:c>
      <x:c r="AE87" t="str">
        <x:f>TEXT(A87,"mmm d")</x:f>
        <x:v>Aug 20</x:v>
      </x:c>
      <x:c r="AF87" s="46" t="n">
        <x:f>U87</x:f>
        <x:v>31122</x:v>
      </x:c>
      <x:c r="AG87" s="46" t="n">
        <x:f>V87</x:f>
        <x:v>32214.660000000003</x:v>
      </x:c>
    </x:row>
    <x:row r="88" ht="22" customHeight="1">
      <x:c r="A88" s="23" t="n">
        <x:f>46620</x:f>
        <x:v>46620</x:v>
      </x:c>
      <x:c r="B88" s="24" t="str">
        <x:f>"Saturday"</x:f>
        <x:v>Saturday</x:v>
      </x:c>
      <x:c r="C88" s="26" t="n">
        <x:f>SUMIFS('Inputs'!$H$40:$H$116,'Inputs'!$F$40:$F$116,B88)*IF(MONTH(A88)=8,1-'Inputs'!$C$23,1)</x:f>
        <x:v>1070.3</x:v>
      </x:c>
      <x:c r="D88" s="25" t="n">
        <x:f>D87+C88</x:f>
        <x:v>59443.09999999999</x:v>
      </x:c>
      <x:c r="E88" s="19" t="n">
        <x:f>ROUND(D88*'Inputs'!$C$30,0)-F87</x:f>
        <x:v>31</x:v>
      </x:c>
      <x:c r="F88" s="16" t="n">
        <x:f>F87+E88</x:f>
        <x:v>1760</x:v>
      </x:c>
      <x:c r="G88" s="27" t="n">
        <x:f>E88*'Inputs'!$C$5</x:f>
        <x:v>558</x:v>
      </x:c>
      <x:c r="H88" s="27" t="n">
        <x:f>'Inputs'!$C$11*'Inputs'!$C$12</x:f>
        <x:v>176</x:v>
      </x:c>
      <x:c r="I88" s="27" t="n">
        <x:f>IF(AND(DAY(A88)=1,A88&gt;'Inputs'!$C$24),'Inputs'!$C$13,0)</x:f>
        <x:v>0</x:v>
      </x:c>
      <x:c r="J88" s="27" t="n">
        <x:f>IF(DAY(A88)=1,'Inputs'!$C$14,0)</x:f>
        <x:v>0</x:v>
      </x:c>
      <x:c r="K88" s="27" t="n">
        <x:f>IF(DAY(A88)=1,'Inputs'!$C$15,0)</x:f>
        <x:v>0</x:v>
      </x:c>
      <x:c r="L88" s="27" t="n">
        <x:f>IF(DAY(A88)=1,'Inputs'!$C$16,0)</x:f>
        <x:v>0</x:v>
      </x:c>
      <x:c r="M88" s="27" t="n">
        <x:f>0</x:f>
        <x:v>0</x:v>
      </x:c>
      <x:c r="N88" s="27" t="n">
        <x:f>0</x:f>
        <x:v>0</x:v>
      </x:c>
      <x:c r="O88" s="27" t="n">
        <x:f>0</x:f>
        <x:v>0</x:v>
      </x:c>
      <x:c r="P88" s="27" t="n">
        <x:f>0</x:f>
        <x:v>0</x:v>
      </x:c>
      <x:c r="Q88" s="19" t="n">
        <x:f>0</x:f>
        <x:v>0</x:v>
      </x:c>
      <x:c r="R88" s="27" t="n">
        <x:f>Q88*'Inputs'!$C$7</x:f>
        <x:v>0</x:v>
      </x:c>
      <x:c r="S88" s="27" t="n">
        <x:f>G88*'Inputs'!$C$10</x:f>
        <x:v>16.74</x:v>
      </x:c>
      <x:c r="T88" s="18" t="n">
        <x:f>SUM(H88:P88)+SUM(R88:S88)</x:f>
        <x:v>192.74</x:v>
      </x:c>
      <x:c r="U88" s="18" t="n">
        <x:f>U87+G88</x:f>
        <x:v>31680</x:v>
      </x:c>
      <x:c r="V88" s="18" t="n">
        <x:f>V87+T88</x:f>
        <x:v>32407.400000000005</x:v>
      </x:c>
      <x:c r="W88" s="18" t="n">
        <x:f>U88-V88</x:f>
        <x:v>-727.4000000000051</x:v>
      </x:c>
      <x:c r="X88" s="16" t="n">
        <x:f>X87+Q88-E88</x:f>
        <x:v>90</x:v>
      </x:c>
      <x:c r="Y88" s="27" t="n">
        <x:f>0</x:f>
        <x:v>0</x:v>
      </x:c>
      <x:c r="Z88" s="27" t="n">
        <x:f>0</x:f>
        <x:v>0</x:v>
      </x:c>
      <x:c r="AA88" s="27" t="n">
        <x:f>AC87</x:f>
        <x:v>16407.340000000004</x:v>
      </x:c>
      <x:c r="AB88" s="18" t="n">
        <x:f>AA88-T88-Y88+Z88</x:f>
        <x:v>16214.600000000004</x:v>
      </x:c>
      <x:c r="AC88" s="18" t="n">
        <x:f>AB88+G88</x:f>
        <x:v>16772.600000000006</x:v>
      </x:c>
      <x:c r="AE88" t="str">
        <x:f>TEXT(A88,"mmm d")</x:f>
        <x:v>Aug 21</x:v>
      </x:c>
      <x:c r="AF88" s="46" t="n">
        <x:f>U88</x:f>
        <x:v>31680</x:v>
      </x:c>
      <x:c r="AG88" s="46" t="n">
        <x:f>V88</x:f>
        <x:v>32407.400000000005</x:v>
      </x:c>
    </x:row>
    <x:row r="89" ht="22" customHeight="1">
      <x:c r="A89" s="23" t="n">
        <x:f>46621</x:f>
        <x:v>46621</x:v>
      </x:c>
      <x:c r="B89" s="24" t="str">
        <x:f>"Sunday"</x:f>
        <x:v>Sunday</x:v>
      </x:c>
      <x:c r="C89" s="26" t="n">
        <x:f>SUMIFS('Inputs'!$H$40:$H$116,'Inputs'!$F$40:$F$116,B89)*IF(MONTH(A89)=8,1-'Inputs'!$C$23,1)</x:f>
        <x:v>1024.1</x:v>
      </x:c>
      <x:c r="D89" s="25" t="n">
        <x:f>D88+C89</x:f>
        <x:v>60467.19999999999</x:v>
      </x:c>
      <x:c r="E89" s="19" t="n">
        <x:f>ROUND(D89*'Inputs'!$C$30,0)-F88</x:f>
        <x:v>31</x:v>
      </x:c>
      <x:c r="F89" s="16" t="n">
        <x:f>F88+E89</x:f>
        <x:v>1791</x:v>
      </x:c>
      <x:c r="G89" s="27" t="n">
        <x:f>E89*'Inputs'!$C$5</x:f>
        <x:v>558</x:v>
      </x:c>
      <x:c r="H89" s="27" t="n">
        <x:f>'Inputs'!$C$11*'Inputs'!$C$12</x:f>
        <x:v>176</x:v>
      </x:c>
      <x:c r="I89" s="27" t="n">
        <x:f>IF(AND(DAY(A89)=1,A89&gt;'Inputs'!$C$24),'Inputs'!$C$13,0)</x:f>
        <x:v>0</x:v>
      </x:c>
      <x:c r="J89" s="27" t="n">
        <x:f>IF(DAY(A89)=1,'Inputs'!$C$14,0)</x:f>
        <x:v>0</x:v>
      </x:c>
      <x:c r="K89" s="27" t="n">
        <x:f>IF(DAY(A89)=1,'Inputs'!$C$15,0)</x:f>
        <x:v>0</x:v>
      </x:c>
      <x:c r="L89" s="27" t="n">
        <x:f>IF(DAY(A89)=1,'Inputs'!$C$16,0)</x:f>
        <x:v>0</x:v>
      </x:c>
      <x:c r="M89" s="27" t="n">
        <x:f>0</x:f>
        <x:v>0</x:v>
      </x:c>
      <x:c r="N89" s="27" t="n">
        <x:f>0</x:f>
        <x:v>0</x:v>
      </x:c>
      <x:c r="O89" s="27" t="n">
        <x:f>0</x:f>
        <x:v>0</x:v>
      </x:c>
      <x:c r="P89" s="27" t="n">
        <x:f>0</x:f>
        <x:v>0</x:v>
      </x:c>
      <x:c r="Q89" s="19" t="n">
        <x:f>0</x:f>
        <x:v>0</x:v>
      </x:c>
      <x:c r="R89" s="27" t="n">
        <x:f>Q89*'Inputs'!$C$7</x:f>
        <x:v>0</x:v>
      </x:c>
      <x:c r="S89" s="27" t="n">
        <x:f>G89*'Inputs'!$C$10</x:f>
        <x:v>16.74</x:v>
      </x:c>
      <x:c r="T89" s="18" t="n">
        <x:f>SUM(H89:P89)+SUM(R89:S89)</x:f>
        <x:v>192.74</x:v>
      </x:c>
      <x:c r="U89" s="18" t="n">
        <x:f>U88+G89</x:f>
        <x:v>32238</x:v>
      </x:c>
      <x:c r="V89" s="18" t="n">
        <x:f>V88+T89</x:f>
        <x:v>32600.140000000007</x:v>
      </x:c>
      <x:c r="W89" s="18" t="n">
        <x:f>U89-V89</x:f>
        <x:v>-362.1400000000067</x:v>
      </x:c>
      <x:c r="X89" s="16" t="n">
        <x:f>X88+Q89-E89</x:f>
        <x:v>59</x:v>
      </x:c>
      <x:c r="Y89" s="27" t="n">
        <x:f>0</x:f>
        <x:v>0</x:v>
      </x:c>
      <x:c r="Z89" s="27" t="n">
        <x:f>0</x:f>
        <x:v>0</x:v>
      </x:c>
      <x:c r="AA89" s="27" t="n">
        <x:f>AC88</x:f>
        <x:v>16772.600000000006</x:v>
      </x:c>
      <x:c r="AB89" s="18" t="n">
        <x:f>AA89-T89-Y89+Z89</x:f>
        <x:v>16579.860000000004</x:v>
      </x:c>
      <x:c r="AC89" s="18" t="n">
        <x:f>AB89+G89</x:f>
        <x:v>17137.860000000004</x:v>
      </x:c>
      <x:c r="AE89" t="str">
        <x:f>TEXT(A89,"mmm d")</x:f>
        <x:v>Aug 22</x:v>
      </x:c>
      <x:c r="AF89" s="46" t="n">
        <x:f>U89</x:f>
        <x:v>32238</x:v>
      </x:c>
      <x:c r="AG89" s="46" t="n">
        <x:f>V89</x:f>
        <x:v>32600.140000000007</x:v>
      </x:c>
    </x:row>
    <x:row r="90" ht="22" customHeight="1">
      <x:c r="A90" s="23" t="n">
        <x:f>46622</x:f>
        <x:v>46622</x:v>
      </x:c>
      <x:c r="B90" s="24" t="str">
        <x:f>"Monday"</x:f>
        <x:v>Monday</x:v>
      </x:c>
      <x:c r="C90" s="26" t="n">
        <x:f>SUMIFS('Inputs'!$H$40:$H$116,'Inputs'!$F$40:$F$116,B90)*IF(MONTH(A90)=8,1-'Inputs'!$C$23,1)</x:f>
        <x:v>341.59999999999997</x:v>
      </x:c>
      <x:c r="D90" s="25" t="n">
        <x:f>D89+C90</x:f>
        <x:v>60808.79999999999</x:v>
      </x:c>
      <x:c r="E90" s="19" t="n">
        <x:f>ROUND(D90*'Inputs'!$C$30,0)-F89</x:f>
        <x:v>10</x:v>
      </x:c>
      <x:c r="F90" s="16" t="n">
        <x:f>F89+E90</x:f>
        <x:v>1801</x:v>
      </x:c>
      <x:c r="G90" s="27" t="n">
        <x:f>E90*'Inputs'!$C$5</x:f>
        <x:v>180</x:v>
      </x:c>
      <x:c r="H90" s="27" t="n">
        <x:f>'Inputs'!$C$11*'Inputs'!$C$12</x:f>
        <x:v>176</x:v>
      </x:c>
      <x:c r="I90" s="27" t="n">
        <x:f>IF(AND(DAY(A90)=1,A90&gt;'Inputs'!$C$24),'Inputs'!$C$13,0)</x:f>
        <x:v>0</x:v>
      </x:c>
      <x:c r="J90" s="27" t="n">
        <x:f>IF(DAY(A90)=1,'Inputs'!$C$14,0)</x:f>
        <x:v>0</x:v>
      </x:c>
      <x:c r="K90" s="27" t="n">
        <x:f>IF(DAY(A90)=1,'Inputs'!$C$15,0)</x:f>
        <x:v>0</x:v>
      </x:c>
      <x:c r="L90" s="27" t="n">
        <x:f>IF(DAY(A90)=1,'Inputs'!$C$16,0)</x:f>
        <x:v>0</x:v>
      </x:c>
      <x:c r="M90" s="27" t="n">
        <x:f>0</x:f>
        <x:v>0</x:v>
      </x:c>
      <x:c r="N90" s="27" t="n">
        <x:f>0</x:f>
        <x:v>0</x:v>
      </x:c>
      <x:c r="O90" s="27" t="n">
        <x:f>0</x:f>
        <x:v>0</x:v>
      </x:c>
      <x:c r="P90" s="27" t="n">
        <x:f>0</x:f>
        <x:v>0</x:v>
      </x:c>
      <x:c r="Q90" s="19" t="n">
        <x:f>0</x:f>
        <x:v>0</x:v>
      </x:c>
      <x:c r="R90" s="27" t="n">
        <x:f>Q90*'Inputs'!$C$7</x:f>
        <x:v>0</x:v>
      </x:c>
      <x:c r="S90" s="27" t="n">
        <x:f>G90*'Inputs'!$C$10</x:f>
        <x:v>5.3999999999999995</x:v>
      </x:c>
      <x:c r="T90" s="18" t="n">
        <x:f>SUM(H90:P90)+SUM(R90:S90)</x:f>
        <x:v>181.4</x:v>
      </x:c>
      <x:c r="U90" s="18" t="n">
        <x:f>U89+G90</x:f>
        <x:v>32418</x:v>
      </x:c>
      <x:c r="V90" s="18" t="n">
        <x:f>V89+T90</x:f>
        <x:v>32781.54000000001</x:v>
      </x:c>
      <x:c r="W90" s="18" t="n">
        <x:f>U90-V90</x:f>
        <x:v>-363.54000000000815</x:v>
      </x:c>
      <x:c r="X90" s="16" t="n">
        <x:f>X89+Q90-E90</x:f>
        <x:v>49</x:v>
      </x:c>
      <x:c r="Y90" s="27" t="n">
        <x:f>0</x:f>
        <x:v>0</x:v>
      </x:c>
      <x:c r="Z90" s="27" t="n">
        <x:f>0</x:f>
        <x:v>0</x:v>
      </x:c>
      <x:c r="AA90" s="27" t="n">
        <x:f>AC89</x:f>
        <x:v>17137.860000000004</x:v>
      </x:c>
      <x:c r="AB90" s="18" t="n">
        <x:f>AA90-T90-Y90+Z90</x:f>
        <x:v>16956.460000000003</x:v>
      </x:c>
      <x:c r="AC90" s="18" t="n">
        <x:f>AB90+G90</x:f>
        <x:v>17136.460000000003</x:v>
      </x:c>
      <x:c r="AE90" t="str">
        <x:f>TEXT(A90,"mmm d")</x:f>
        <x:v>Aug 23</x:v>
      </x:c>
      <x:c r="AF90" s="46" t="n">
        <x:f>U90</x:f>
        <x:v>32418</x:v>
      </x:c>
      <x:c r="AG90" s="46" t="n">
        <x:f>V90</x:f>
        <x:v>32781.54000000001</x:v>
      </x:c>
    </x:row>
    <x:row r="91" ht="22" customHeight="1">
      <x:c r="A91" s="23" t="n">
        <x:f>46623</x:f>
        <x:v>46623</x:v>
      </x:c>
      <x:c r="B91" s="24" t="str">
        <x:f>"Tuesday"</x:f>
        <x:v>Tuesday</x:v>
      </x:c>
      <x:c r="C91" s="26" t="n">
        <x:f>SUMIFS('Inputs'!$H$40:$H$116,'Inputs'!$F$40:$F$116,B91)*IF(MONTH(A91)=8,1-'Inputs'!$C$23,1)</x:f>
        <x:v>357</x:v>
      </x:c>
      <x:c r="D91" s="25" t="n">
        <x:f>D90+C91</x:f>
        <x:v>61165.79999999999</x:v>
      </x:c>
      <x:c r="E91" s="19" t="n">
        <x:f>ROUND(D91*'Inputs'!$C$30,0)-F90</x:f>
        <x:v>10</x:v>
      </x:c>
      <x:c r="F91" s="16" t="n">
        <x:f>F90+E91</x:f>
        <x:v>1811</x:v>
      </x:c>
      <x:c r="G91" s="27" t="n">
        <x:f>E91*'Inputs'!$C$5</x:f>
        <x:v>180</x:v>
      </x:c>
      <x:c r="H91" s="27" t="n">
        <x:f>'Inputs'!$C$11*'Inputs'!$C$12</x:f>
        <x:v>176</x:v>
      </x:c>
      <x:c r="I91" s="27" t="n">
        <x:f>IF(AND(DAY(A91)=1,A91&gt;'Inputs'!$C$24),'Inputs'!$C$13,0)</x:f>
        <x:v>0</x:v>
      </x:c>
      <x:c r="J91" s="27" t="n">
        <x:f>IF(DAY(A91)=1,'Inputs'!$C$14,0)</x:f>
        <x:v>0</x:v>
      </x:c>
      <x:c r="K91" s="27" t="n">
        <x:f>IF(DAY(A91)=1,'Inputs'!$C$15,0)</x:f>
        <x:v>0</x:v>
      </x:c>
      <x:c r="L91" s="27" t="n">
        <x:f>IF(DAY(A91)=1,'Inputs'!$C$16,0)</x:f>
        <x:v>0</x:v>
      </x:c>
      <x:c r="M91" s="27" t="n">
        <x:f>0</x:f>
        <x:v>0</x:v>
      </x:c>
      <x:c r="N91" s="27" t="n">
        <x:f>0</x:f>
        <x:v>0</x:v>
      </x:c>
      <x:c r="O91" s="27" t="n">
        <x:f>0</x:f>
        <x:v>0</x:v>
      </x:c>
      <x:c r="P91" s="27" t="n">
        <x:f>0</x:f>
        <x:v>0</x:v>
      </x:c>
      <x:c r="Q91" s="19" t="n">
        <x:f>ROUNDUP(MAX(0,SUM(E91:E97)-X90)/'Inputs'!$C$8,0)*'Inputs'!$C$8</x:f>
        <x:v>100</x:v>
      </x:c>
      <x:c r="R91" s="27" t="n">
        <x:f>Q91*'Inputs'!$C$7</x:f>
        <x:v>400</x:v>
      </x:c>
      <x:c r="S91" s="27" t="n">
        <x:f>G91*'Inputs'!$C$10</x:f>
        <x:v>5.3999999999999995</x:v>
      </x:c>
      <x:c r="T91" s="18" t="n">
        <x:f>SUM(H91:P91)+SUM(R91:S91)</x:f>
        <x:v>581.4</x:v>
      </x:c>
      <x:c r="U91" s="18" t="n">
        <x:f>U90+G91</x:f>
        <x:v>32598</x:v>
      </x:c>
      <x:c r="V91" s="18" t="n">
        <x:f>V90+T91</x:f>
        <x:v>33362.94000000001</x:v>
      </x:c>
      <x:c r="W91" s="18" t="n">
        <x:f>U91-V91</x:f>
        <x:v>-764.9400000000096</x:v>
      </x:c>
      <x:c r="X91" s="16" t="n">
        <x:f>X90+Q91-E91</x:f>
        <x:v>139</x:v>
      </x:c>
      <x:c r="Y91" s="27" t="n">
        <x:f>0</x:f>
        <x:v>0</x:v>
      </x:c>
      <x:c r="Z91" s="27" t="n">
        <x:f>0</x:f>
        <x:v>0</x:v>
      </x:c>
      <x:c r="AA91" s="27" t="n">
        <x:f>AC90</x:f>
        <x:v>17136.460000000003</x:v>
      </x:c>
      <x:c r="AB91" s="18" t="n">
        <x:f>AA91-T91-Y91+Z91</x:f>
        <x:v>16555.06</x:v>
      </x:c>
      <x:c r="AC91" s="18" t="n">
        <x:f>AB91+G91</x:f>
        <x:v>16735.06</x:v>
      </x:c>
      <x:c r="AE91" t="str">
        <x:f>TEXT(A91,"mmm d")</x:f>
        <x:v>Aug 24</x:v>
      </x:c>
      <x:c r="AF91" s="46" t="n">
        <x:f>U91</x:f>
        <x:v>32598</x:v>
      </x:c>
      <x:c r="AG91" s="46" t="n">
        <x:f>V91</x:f>
        <x:v>33362.94000000001</x:v>
      </x:c>
    </x:row>
    <x:row r="92" ht="22" customHeight="1">
      <x:c r="A92" s="23" t="n">
        <x:f>46624</x:f>
        <x:v>46624</x:v>
      </x:c>
      <x:c r="B92" s="24" t="str">
        <x:f>"Wednesday"</x:f>
        <x:v>Wednesday</x:v>
      </x:c>
      <x:c r="C92" s="26" t="n">
        <x:f>SUMIFS('Inputs'!$H$40:$H$116,'Inputs'!$F$40:$F$116,B92)*IF(MONTH(A92)=8,1-'Inputs'!$C$23,1)</x:f>
        <x:v>341.59999999999997</x:v>
      </x:c>
      <x:c r="D92" s="25" t="n">
        <x:f>D91+C92</x:f>
        <x:v>61507.39999999999</x:v>
      </x:c>
      <x:c r="E92" s="19" t="n">
        <x:f>ROUND(D92*'Inputs'!$C$30,0)-F91</x:f>
        <x:v>10</x:v>
      </x:c>
      <x:c r="F92" s="16" t="n">
        <x:f>F91+E92</x:f>
        <x:v>1821</x:v>
      </x:c>
      <x:c r="G92" s="27" t="n">
        <x:f>E92*'Inputs'!$C$5</x:f>
        <x:v>180</x:v>
      </x:c>
      <x:c r="H92" s="27" t="n">
        <x:f>'Inputs'!$C$11*'Inputs'!$C$12</x:f>
        <x:v>176</x:v>
      </x:c>
      <x:c r="I92" s="27" t="n">
        <x:f>IF(AND(DAY(A92)=1,A92&gt;'Inputs'!$C$24),'Inputs'!$C$13,0)</x:f>
        <x:v>0</x:v>
      </x:c>
      <x:c r="J92" s="27" t="n">
        <x:f>IF(DAY(A92)=1,'Inputs'!$C$14,0)</x:f>
        <x:v>0</x:v>
      </x:c>
      <x:c r="K92" s="27" t="n">
        <x:f>IF(DAY(A92)=1,'Inputs'!$C$15,0)</x:f>
        <x:v>0</x:v>
      </x:c>
      <x:c r="L92" s="27" t="n">
        <x:f>IF(DAY(A92)=1,'Inputs'!$C$16,0)</x:f>
        <x:v>0</x:v>
      </x:c>
      <x:c r="M92" s="27" t="n">
        <x:f>0</x:f>
        <x:v>0</x:v>
      </x:c>
      <x:c r="N92" s="27" t="n">
        <x:f>0</x:f>
        <x:v>0</x:v>
      </x:c>
      <x:c r="O92" s="27" t="n">
        <x:f>0</x:f>
        <x:v>0</x:v>
      </x:c>
      <x:c r="P92" s="27" t="n">
        <x:f>0</x:f>
        <x:v>0</x:v>
      </x:c>
      <x:c r="Q92" s="19" t="n">
        <x:f>0</x:f>
        <x:v>0</x:v>
      </x:c>
      <x:c r="R92" s="27" t="n">
        <x:f>Q92*'Inputs'!$C$7</x:f>
        <x:v>0</x:v>
      </x:c>
      <x:c r="S92" s="27" t="n">
        <x:f>G92*'Inputs'!$C$10</x:f>
        <x:v>5.3999999999999995</x:v>
      </x:c>
      <x:c r="T92" s="18" t="n">
        <x:f>SUM(H92:P92)+SUM(R92:S92)</x:f>
        <x:v>181.4</x:v>
      </x:c>
      <x:c r="U92" s="18" t="n">
        <x:f>U91+G92</x:f>
        <x:v>32778</x:v>
      </x:c>
      <x:c r="V92" s="18" t="n">
        <x:f>V91+T92</x:f>
        <x:v>33544.34000000001</x:v>
      </x:c>
      <x:c r="W92" s="18" t="n">
        <x:f>U92-V92</x:f>
        <x:v>-766.3400000000111</x:v>
      </x:c>
      <x:c r="X92" s="16" t="n">
        <x:f>X91+Q92-E92</x:f>
        <x:v>129</x:v>
      </x:c>
      <x:c r="Y92" s="27" t="n">
        <x:f>0</x:f>
        <x:v>0</x:v>
      </x:c>
      <x:c r="Z92" s="27" t="n">
        <x:f>0</x:f>
        <x:v>0</x:v>
      </x:c>
      <x:c r="AA92" s="27" t="n">
        <x:f>AC91</x:f>
        <x:v>16735.06</x:v>
      </x:c>
      <x:c r="AB92" s="18" t="n">
        <x:f>AA92-T92-Y92+Z92</x:f>
        <x:v>16553.66</x:v>
      </x:c>
      <x:c r="AC92" s="18" t="n">
        <x:f>AB92+G92</x:f>
        <x:v>16733.66</x:v>
      </x:c>
      <x:c r="AE92" t="str">
        <x:f>TEXT(A92,"mmm d")</x:f>
        <x:v>Aug 25</x:v>
      </x:c>
      <x:c r="AF92" s="46" t="n">
        <x:f>U92</x:f>
        <x:v>32778</x:v>
      </x:c>
      <x:c r="AG92" s="46" t="n">
        <x:f>V92</x:f>
        <x:v>33544.34000000001</x:v>
      </x:c>
    </x:row>
    <x:row r="93" ht="22" customHeight="1">
      <x:c r="A93" s="23" t="n">
        <x:f>46625</x:f>
        <x:v>46625</x:v>
      </x:c>
      <x:c r="B93" s="24" t="str">
        <x:f>"Thursday"</x:f>
        <x:v>Thursday</x:v>
      </x:c>
      <x:c r="C93" s="26" t="n">
        <x:f>SUMIFS('Inputs'!$H$40:$H$116,'Inputs'!$F$40:$F$116,B93)*IF(MONTH(A93)=8,1-'Inputs'!$C$23,1)</x:f>
        <x:v>341.59999999999997</x:v>
      </x:c>
      <x:c r="D93" s="25" t="n">
        <x:f>D92+C93</x:f>
        <x:v>61848.999999999985</x:v>
      </x:c>
      <x:c r="E93" s="19" t="n">
        <x:f>ROUND(D93*'Inputs'!$C$30,0)-F92</x:f>
        <x:v>11</x:v>
      </x:c>
      <x:c r="F93" s="16" t="n">
        <x:f>F92+E93</x:f>
        <x:v>1832</x:v>
      </x:c>
      <x:c r="G93" s="27" t="n">
        <x:f>E93*'Inputs'!$C$5</x:f>
        <x:v>198</x:v>
      </x:c>
      <x:c r="H93" s="27" t="n">
        <x:f>'Inputs'!$C$11*'Inputs'!$C$12</x:f>
        <x:v>176</x:v>
      </x:c>
      <x:c r="I93" s="27" t="n">
        <x:f>IF(AND(DAY(A93)=1,A93&gt;'Inputs'!$C$24),'Inputs'!$C$13,0)</x:f>
        <x:v>0</x:v>
      </x:c>
      <x:c r="J93" s="27" t="n">
        <x:f>IF(DAY(A93)=1,'Inputs'!$C$14,0)</x:f>
        <x:v>0</x:v>
      </x:c>
      <x:c r="K93" s="27" t="n">
        <x:f>IF(DAY(A93)=1,'Inputs'!$C$15,0)</x:f>
        <x:v>0</x:v>
      </x:c>
      <x:c r="L93" s="27" t="n">
        <x:f>IF(DAY(A93)=1,'Inputs'!$C$16,0)</x:f>
        <x:v>0</x:v>
      </x:c>
      <x:c r="M93" s="27" t="n">
        <x:f>0</x:f>
        <x:v>0</x:v>
      </x:c>
      <x:c r="N93" s="27" t="n">
        <x:f>0</x:f>
        <x:v>0</x:v>
      </x:c>
      <x:c r="O93" s="27" t="n">
        <x:f>0</x:f>
        <x:v>0</x:v>
      </x:c>
      <x:c r="P93" s="27" t="n">
        <x:f>0</x:f>
        <x:v>0</x:v>
      </x:c>
      <x:c r="Q93" s="19" t="n">
        <x:f>0</x:f>
        <x:v>0</x:v>
      </x:c>
      <x:c r="R93" s="27" t="n">
        <x:f>Q93*'Inputs'!$C$7</x:f>
        <x:v>0</x:v>
      </x:c>
      <x:c r="S93" s="27" t="n">
        <x:f>G93*'Inputs'!$C$10</x:f>
        <x:v>5.9399999999999995</x:v>
      </x:c>
      <x:c r="T93" s="18" t="n">
        <x:f>SUM(H93:P93)+SUM(R93:S93)</x:f>
        <x:v>181.94</x:v>
      </x:c>
      <x:c r="U93" s="18" t="n">
        <x:f>U92+G93</x:f>
        <x:v>32976</x:v>
      </x:c>
      <x:c r="V93" s="18" t="n">
        <x:f>V92+T93</x:f>
        <x:v>33726.28000000001</x:v>
      </x:c>
      <x:c r="W93" s="18" t="n">
        <x:f>U93-V93</x:f>
        <x:v>-750.2800000000134</x:v>
      </x:c>
      <x:c r="X93" s="16" t="n">
        <x:f>X92+Q93-E93</x:f>
        <x:v>118</x:v>
      </x:c>
      <x:c r="Y93" s="27" t="n">
        <x:f>0</x:f>
        <x:v>0</x:v>
      </x:c>
      <x:c r="Z93" s="27" t="n">
        <x:f>0</x:f>
        <x:v>0</x:v>
      </x:c>
      <x:c r="AA93" s="27" t="n">
        <x:f>AC92</x:f>
        <x:v>16733.66</x:v>
      </x:c>
      <x:c r="AB93" s="18" t="n">
        <x:f>AA93-T93-Y93+Z93</x:f>
        <x:v>16551.72</x:v>
      </x:c>
      <x:c r="AC93" s="18" t="n">
        <x:f>AB93+G93</x:f>
        <x:v>16749.72</x:v>
      </x:c>
      <x:c r="AE93" t="str">
        <x:f>TEXT(A93,"mmm d")</x:f>
        <x:v>Aug 26</x:v>
      </x:c>
      <x:c r="AF93" s="46" t="n">
        <x:f>U93</x:f>
        <x:v>32976</x:v>
      </x:c>
      <x:c r="AG93" s="46" t="n">
        <x:f>V93</x:f>
        <x:v>33726.28000000001</x:v>
      </x:c>
    </x:row>
    <x:row r="94" ht="22" customHeight="1">
      <x:c r="A94" s="23" t="n">
        <x:f>46626</x:f>
        <x:v>46626</x:v>
      </x:c>
      <x:c r="B94" s="24" t="str">
        <x:f>"Friday"</x:f>
        <x:v>Friday</x:v>
      </x:c>
      <x:c r="C94" s="26" t="n">
        <x:f>SUMIFS('Inputs'!$H$40:$H$116,'Inputs'!$F$40:$F$116,B94)*IF(MONTH(A94)=8,1-'Inputs'!$C$23,1)</x:f>
        <x:v>395.5</x:v>
      </x:c>
      <x:c r="D94" s="25" t="n">
        <x:f>D93+C94</x:f>
        <x:v>62244.499999999985</x:v>
      </x:c>
      <x:c r="E94" s="19" t="n">
        <x:f>ROUND(D94*'Inputs'!$C$30,0)-F93</x:f>
        <x:v>11</x:v>
      </x:c>
      <x:c r="F94" s="16" t="n">
        <x:f>F93+E94</x:f>
        <x:v>1843</x:v>
      </x:c>
      <x:c r="G94" s="27" t="n">
        <x:f>E94*'Inputs'!$C$5</x:f>
        <x:v>198</x:v>
      </x:c>
      <x:c r="H94" s="27" t="n">
        <x:f>'Inputs'!$C$11*'Inputs'!$C$12</x:f>
        <x:v>176</x:v>
      </x:c>
      <x:c r="I94" s="27" t="n">
        <x:f>IF(AND(DAY(A94)=1,A94&gt;'Inputs'!$C$24),'Inputs'!$C$13,0)</x:f>
        <x:v>0</x:v>
      </x:c>
      <x:c r="J94" s="27" t="n">
        <x:f>IF(DAY(A94)=1,'Inputs'!$C$14,0)</x:f>
        <x:v>0</x:v>
      </x:c>
      <x:c r="K94" s="27" t="n">
        <x:f>IF(DAY(A94)=1,'Inputs'!$C$15,0)</x:f>
        <x:v>0</x:v>
      </x:c>
      <x:c r="L94" s="27" t="n">
        <x:f>IF(DAY(A94)=1,'Inputs'!$C$16,0)</x:f>
        <x:v>0</x:v>
      </x:c>
      <x:c r="M94" s="27" t="n">
        <x:f>0</x:f>
        <x:v>0</x:v>
      </x:c>
      <x:c r="N94" s="27" t="n">
        <x:f>0</x:f>
        <x:v>0</x:v>
      </x:c>
      <x:c r="O94" s="27" t="n">
        <x:f>0</x:f>
        <x:v>0</x:v>
      </x:c>
      <x:c r="P94" s="27" t="n">
        <x:f>0</x:f>
        <x:v>0</x:v>
      </x:c>
      <x:c r="Q94" s="19" t="n">
        <x:f>0</x:f>
        <x:v>0</x:v>
      </x:c>
      <x:c r="R94" s="27" t="n">
        <x:f>Q94*'Inputs'!$C$7</x:f>
        <x:v>0</x:v>
      </x:c>
      <x:c r="S94" s="27" t="n">
        <x:f>G94*'Inputs'!$C$10</x:f>
        <x:v>5.9399999999999995</x:v>
      </x:c>
      <x:c r="T94" s="18" t="n">
        <x:f>SUM(H94:P94)+SUM(R94:S94)</x:f>
        <x:v>181.94</x:v>
      </x:c>
      <x:c r="U94" s="18" t="n">
        <x:f>U93+G94</x:f>
        <x:v>33174</x:v>
      </x:c>
      <x:c r="V94" s="18" t="n">
        <x:f>V93+T94</x:f>
        <x:v>33908.220000000016</x:v>
      </x:c>
      <x:c r="W94" s="18" t="n">
        <x:f>U94-V94</x:f>
        <x:v>-734.2200000000157</x:v>
      </x:c>
      <x:c r="X94" s="16" t="n">
        <x:f>X93+Q94-E94</x:f>
        <x:v>107</x:v>
      </x:c>
      <x:c r="Y94" s="27" t="n">
        <x:f>0</x:f>
        <x:v>0</x:v>
      </x:c>
      <x:c r="Z94" s="27" t="n">
        <x:f>0</x:f>
        <x:v>0</x:v>
      </x:c>
      <x:c r="AA94" s="27" t="n">
        <x:f>AC93</x:f>
        <x:v>16749.72</x:v>
      </x:c>
      <x:c r="AB94" s="18" t="n">
        <x:f>AA94-T94-Y94+Z94</x:f>
        <x:v>16567.780000000002</x:v>
      </x:c>
      <x:c r="AC94" s="18" t="n">
        <x:f>AB94+G94</x:f>
        <x:v>16765.780000000002</x:v>
      </x:c>
      <x:c r="AE94" t="str">
        <x:f>TEXT(A94,"mmm d")</x:f>
        <x:v>Aug 27</x:v>
      </x:c>
      <x:c r="AF94" s="46" t="n">
        <x:f>U94</x:f>
        <x:v>33174</x:v>
      </x:c>
      <x:c r="AG94" s="46" t="n">
        <x:f>V94</x:f>
        <x:v>33908.220000000016</x:v>
      </x:c>
    </x:row>
    <x:row r="95" ht="22" customHeight="1">
      <x:c r="A95" s="23" t="n">
        <x:f>46627</x:f>
        <x:v>46627</x:v>
      </x:c>
      <x:c r="B95" s="24" t="str">
        <x:f>"Saturday"</x:f>
        <x:v>Saturday</x:v>
      </x:c>
      <x:c r="C95" s="26" t="n">
        <x:f>SUMIFS('Inputs'!$H$40:$H$116,'Inputs'!$F$40:$F$116,B95)*IF(MONTH(A95)=8,1-'Inputs'!$C$23,1)</x:f>
        <x:v>1070.3</x:v>
      </x:c>
      <x:c r="D95" s="25" t="n">
        <x:f>D94+C95</x:f>
        <x:v>63314.79999999999</x:v>
      </x:c>
      <x:c r="E95" s="19" t="n">
        <x:f>ROUND(D95*'Inputs'!$C$30,0)-F94</x:f>
        <x:v>32</x:v>
      </x:c>
      <x:c r="F95" s="16" t="n">
        <x:f>F94+E95</x:f>
        <x:v>1875</x:v>
      </x:c>
      <x:c r="G95" s="27" t="n">
        <x:f>E95*'Inputs'!$C$5</x:f>
        <x:v>576</x:v>
      </x:c>
      <x:c r="H95" s="27" t="n">
        <x:f>'Inputs'!$C$11*'Inputs'!$C$12</x:f>
        <x:v>176</x:v>
      </x:c>
      <x:c r="I95" s="27" t="n">
        <x:f>IF(AND(DAY(A95)=1,A95&gt;'Inputs'!$C$24),'Inputs'!$C$13,0)</x:f>
        <x:v>0</x:v>
      </x:c>
      <x:c r="J95" s="27" t="n">
        <x:f>IF(DAY(A95)=1,'Inputs'!$C$14,0)</x:f>
        <x:v>0</x:v>
      </x:c>
      <x:c r="K95" s="27" t="n">
        <x:f>IF(DAY(A95)=1,'Inputs'!$C$15,0)</x:f>
        <x:v>0</x:v>
      </x:c>
      <x:c r="L95" s="27" t="n">
        <x:f>IF(DAY(A95)=1,'Inputs'!$C$16,0)</x:f>
        <x:v>0</x:v>
      </x:c>
      <x:c r="M95" s="27" t="n">
        <x:f>0</x:f>
        <x:v>0</x:v>
      </x:c>
      <x:c r="N95" s="27" t="n">
        <x:f>0</x:f>
        <x:v>0</x:v>
      </x:c>
      <x:c r="O95" s="27" t="n">
        <x:f>0</x:f>
        <x:v>0</x:v>
      </x:c>
      <x:c r="P95" s="27" t="n">
        <x:f>0</x:f>
        <x:v>0</x:v>
      </x:c>
      <x:c r="Q95" s="19" t="n">
        <x:f>0</x:f>
        <x:v>0</x:v>
      </x:c>
      <x:c r="R95" s="27" t="n">
        <x:f>Q95*'Inputs'!$C$7</x:f>
        <x:v>0</x:v>
      </x:c>
      <x:c r="S95" s="27" t="n">
        <x:f>G95*'Inputs'!$C$10</x:f>
        <x:v>17.28</x:v>
      </x:c>
      <x:c r="T95" s="18" t="n">
        <x:f>SUM(H95:P95)+SUM(R95:S95)</x:f>
        <x:v>193.28</x:v>
      </x:c>
      <x:c r="U95" s="18" t="n">
        <x:f>U94+G95</x:f>
        <x:v>33750</x:v>
      </x:c>
      <x:c r="V95" s="18" t="n">
        <x:f>V94+T95</x:f>
        <x:v>34101.500000000015</x:v>
      </x:c>
      <x:c r="W95" s="18" t="n">
        <x:f>U95-V95</x:f>
        <x:v>-351.50000000001455</x:v>
      </x:c>
      <x:c r="X95" s="16" t="n">
        <x:f>X94+Q95-E95</x:f>
        <x:v>75</x:v>
      </x:c>
      <x:c r="Y95" s="27" t="n">
        <x:f>0</x:f>
        <x:v>0</x:v>
      </x:c>
      <x:c r="Z95" s="27" t="n">
        <x:f>0</x:f>
        <x:v>0</x:v>
      </x:c>
      <x:c r="AA95" s="27" t="n">
        <x:f>AC94</x:f>
        <x:v>16765.780000000002</x:v>
      </x:c>
      <x:c r="AB95" s="18" t="n">
        <x:f>AA95-T95-Y95+Z95</x:f>
        <x:v>16572.500000000004</x:v>
      </x:c>
      <x:c r="AC95" s="18" t="n">
        <x:f>AB95+G95</x:f>
        <x:v>17148.500000000004</x:v>
      </x:c>
      <x:c r="AE95" t="str">
        <x:f>TEXT(A95,"mmm d")</x:f>
        <x:v>Aug 28</x:v>
      </x:c>
      <x:c r="AF95" s="46" t="n">
        <x:f>U95</x:f>
        <x:v>33750</x:v>
      </x:c>
      <x:c r="AG95" s="46" t="n">
        <x:f>V95</x:f>
        <x:v>34101.500000000015</x:v>
      </x:c>
    </x:row>
    <x:row r="96" ht="22" customHeight="1">
      <x:c r="A96" s="23" t="n">
        <x:f>46628</x:f>
        <x:v>46628</x:v>
      </x:c>
      <x:c r="B96" s="24" t="str">
        <x:f>"Sunday"</x:f>
        <x:v>Sunday</x:v>
      </x:c>
      <x:c r="C96" s="26" t="n">
        <x:f>SUMIFS('Inputs'!$H$40:$H$116,'Inputs'!$F$40:$F$116,B96)*IF(MONTH(A96)=8,1-'Inputs'!$C$23,1)</x:f>
        <x:v>1024.1</x:v>
      </x:c>
      <x:c r="D96" s="25" t="n">
        <x:f>D95+C96</x:f>
        <x:v>64338.89999999999</x:v>
      </x:c>
      <x:c r="E96" s="19" t="n">
        <x:f>ROUND(D96*'Inputs'!$C$30,0)-F95</x:f>
        <x:v>30</x:v>
      </x:c>
      <x:c r="F96" s="16" t="n">
        <x:f>F95+E96</x:f>
        <x:v>1905</x:v>
      </x:c>
      <x:c r="G96" s="27" t="n">
        <x:f>E96*'Inputs'!$C$5</x:f>
        <x:v>540</x:v>
      </x:c>
      <x:c r="H96" s="27" t="n">
        <x:f>'Inputs'!$C$11*'Inputs'!$C$12</x:f>
        <x:v>176</x:v>
      </x:c>
      <x:c r="I96" s="27" t="n">
        <x:f>IF(AND(DAY(A96)=1,A96&gt;'Inputs'!$C$24),'Inputs'!$C$13,0)</x:f>
        <x:v>0</x:v>
      </x:c>
      <x:c r="J96" s="27" t="n">
        <x:f>IF(DAY(A96)=1,'Inputs'!$C$14,0)</x:f>
        <x:v>0</x:v>
      </x:c>
      <x:c r="K96" s="27" t="n">
        <x:f>IF(DAY(A96)=1,'Inputs'!$C$15,0)</x:f>
        <x:v>0</x:v>
      </x:c>
      <x:c r="L96" s="27" t="n">
        <x:f>IF(DAY(A96)=1,'Inputs'!$C$16,0)</x:f>
        <x:v>0</x:v>
      </x:c>
      <x:c r="M96" s="27" t="n">
        <x:f>0</x:f>
        <x:v>0</x:v>
      </x:c>
      <x:c r="N96" s="27" t="n">
        <x:f>0</x:f>
        <x:v>0</x:v>
      </x:c>
      <x:c r="O96" s="27" t="n">
        <x:f>0</x:f>
        <x:v>0</x:v>
      </x:c>
      <x:c r="P96" s="27" t="n">
        <x:f>0</x:f>
        <x:v>0</x:v>
      </x:c>
      <x:c r="Q96" s="19" t="n">
        <x:f>0</x:f>
        <x:v>0</x:v>
      </x:c>
      <x:c r="R96" s="27" t="n">
        <x:f>Q96*'Inputs'!$C$7</x:f>
        <x:v>0</x:v>
      </x:c>
      <x:c r="S96" s="27" t="n">
        <x:f>G96*'Inputs'!$C$10</x:f>
        <x:v>16.2</x:v>
      </x:c>
      <x:c r="T96" s="18" t="n">
        <x:f>SUM(H96:P96)+SUM(R96:S96)</x:f>
        <x:v>192.2</x:v>
      </x:c>
      <x:c r="U96" s="18" t="n">
        <x:f>U95+G96</x:f>
        <x:v>34290</x:v>
      </x:c>
      <x:c r="V96" s="18" t="n">
        <x:f>V95+T96</x:f>
        <x:v>34293.70000000001</x:v>
      </x:c>
      <x:c r="W96" s="18" t="n">
        <x:f>U96-V96</x:f>
        <x:v>-3.7000000000116415</x:v>
      </x:c>
      <x:c r="X96" s="16" t="n">
        <x:f>X95+Q96-E96</x:f>
        <x:v>45</x:v>
      </x:c>
      <x:c r="Y96" s="27" t="n">
        <x:f>0</x:f>
        <x:v>0</x:v>
      </x:c>
      <x:c r="Z96" s="27" t="n">
        <x:f>0</x:f>
        <x:v>0</x:v>
      </x:c>
      <x:c r="AA96" s="27" t="n">
        <x:f>AC95</x:f>
        <x:v>17148.500000000004</x:v>
      </x:c>
      <x:c r="AB96" s="18" t="n">
        <x:f>AA96-T96-Y96+Z96</x:f>
        <x:v>16956.300000000003</x:v>
      </x:c>
      <x:c r="AC96" s="18" t="n">
        <x:f>AB96+G96</x:f>
        <x:v>17496.300000000003</x:v>
      </x:c>
      <x:c r="AE96" t="str">
        <x:f>TEXT(A96,"mmm d")</x:f>
        <x:v>Aug 29</x:v>
      </x:c>
      <x:c r="AF96" s="46" t="n">
        <x:f>U96</x:f>
        <x:v>34290</x:v>
      </x:c>
      <x:c r="AG96" s="46" t="n">
        <x:f>V96</x:f>
        <x:v>34293.70000000001</x:v>
      </x:c>
    </x:row>
    <x:row r="97" ht="22" customHeight="1">
      <x:c r="A97" s="23" t="n">
        <x:f>46629</x:f>
        <x:v>46629</x:v>
      </x:c>
      <x:c r="B97" s="24" t="str">
        <x:f>"Monday"</x:f>
        <x:v>Monday</x:v>
      </x:c>
      <x:c r="C97" s="26" t="n">
        <x:f>SUMIFS('Inputs'!$H$40:$H$116,'Inputs'!$F$40:$F$116,B97)*IF(MONTH(A97)=8,1-'Inputs'!$C$23,1)</x:f>
        <x:v>341.59999999999997</x:v>
      </x:c>
      <x:c r="D97" s="25" t="n">
        <x:f>D96+C97</x:f>
        <x:v>64680.499999999985</x:v>
      </x:c>
      <x:c r="E97" s="19" t="n">
        <x:f>ROUND(D97*'Inputs'!$C$30,0)-F96</x:f>
        <x:v>10</x:v>
      </x:c>
      <x:c r="F97" s="16" t="n">
        <x:f>F96+E97</x:f>
        <x:v>1915</x:v>
      </x:c>
      <x:c r="G97" s="27" t="n">
        <x:f>E97*'Inputs'!$C$5</x:f>
        <x:v>180</x:v>
      </x:c>
      <x:c r="H97" s="27" t="n">
        <x:f>'Inputs'!$C$11*'Inputs'!$C$12</x:f>
        <x:v>176</x:v>
      </x:c>
      <x:c r="I97" s="27" t="n">
        <x:f>IF(AND(DAY(A97)=1,A97&gt;'Inputs'!$C$24),'Inputs'!$C$13,0)</x:f>
        <x:v>0</x:v>
      </x:c>
      <x:c r="J97" s="27" t="n">
        <x:f>IF(DAY(A97)=1,'Inputs'!$C$14,0)</x:f>
        <x:v>0</x:v>
      </x:c>
      <x:c r="K97" s="27" t="n">
        <x:f>IF(DAY(A97)=1,'Inputs'!$C$15,0)</x:f>
        <x:v>0</x:v>
      </x:c>
      <x:c r="L97" s="27" t="n">
        <x:f>IF(DAY(A97)=1,'Inputs'!$C$16,0)</x:f>
        <x:v>0</x:v>
      </x:c>
      <x:c r="M97" s="27" t="n">
        <x:f>0</x:f>
        <x:v>0</x:v>
      </x:c>
      <x:c r="N97" s="27" t="n">
        <x:f>0</x:f>
        <x:v>0</x:v>
      </x:c>
      <x:c r="O97" s="27" t="n">
        <x:f>0</x:f>
        <x:v>0</x:v>
      </x:c>
      <x:c r="P97" s="27" t="n">
        <x:f>0</x:f>
        <x:v>0</x:v>
      </x:c>
      <x:c r="Q97" s="19" t="n">
        <x:f>0</x:f>
        <x:v>0</x:v>
      </x:c>
      <x:c r="R97" s="27" t="n">
        <x:f>Q97*'Inputs'!$C$7</x:f>
        <x:v>0</x:v>
      </x:c>
      <x:c r="S97" s="27" t="n">
        <x:f>G97*'Inputs'!$C$10</x:f>
        <x:v>5.3999999999999995</x:v>
      </x:c>
      <x:c r="T97" s="18" t="n">
        <x:f>SUM(H97:P97)+SUM(R97:S97)</x:f>
        <x:v>181.4</x:v>
      </x:c>
      <x:c r="U97" s="18" t="n">
        <x:f>U96+G97</x:f>
        <x:v>34470</x:v>
      </x:c>
      <x:c r="V97" s="18" t="n">
        <x:f>V96+T97</x:f>
        <x:v>34475.10000000001</x:v>
      </x:c>
      <x:c r="W97" s="18" t="n">
        <x:f>U97-V97</x:f>
        <x:v>-5.100000000013097</x:v>
      </x:c>
      <x:c r="X97" s="16" t="n">
        <x:f>X96+Q97-E97</x:f>
        <x:v>35</x:v>
      </x:c>
      <x:c r="Y97" s="27" t="n">
        <x:f>0</x:f>
        <x:v>0</x:v>
      </x:c>
      <x:c r="Z97" s="27" t="n">
        <x:f>0</x:f>
        <x:v>0</x:v>
      </x:c>
      <x:c r="AA97" s="27" t="n">
        <x:f>AC96</x:f>
        <x:v>17496.300000000003</x:v>
      </x:c>
      <x:c r="AB97" s="18" t="n">
        <x:f>AA97-T97-Y97+Z97</x:f>
        <x:v>17314.9</x:v>
      </x:c>
      <x:c r="AC97" s="18" t="n">
        <x:f>AB97+G97</x:f>
        <x:v>17494.9</x:v>
      </x:c>
      <x:c r="AE97" t="str">
        <x:f>TEXT(A97,"mmm d")</x:f>
        <x:v>Aug 30</x:v>
      </x:c>
      <x:c r="AF97" s="46" t="n">
        <x:f>U97</x:f>
        <x:v>34470</x:v>
      </x:c>
      <x:c r="AG97" s="46" t="n">
        <x:f>V97</x:f>
        <x:v>34475.10000000001</x:v>
      </x:c>
    </x:row>
    <x:row r="98" ht="22" customHeight="1">
      <x:c r="A98" s="23" t="n">
        <x:f>46630</x:f>
        <x:v>46630</x:v>
      </x:c>
      <x:c r="B98" s="24" t="str">
        <x:f>"Tuesday"</x:f>
        <x:v>Tuesday</x:v>
      </x:c>
      <x:c r="C98" s="26" t="n">
        <x:f>SUMIFS('Inputs'!$H$40:$H$116,'Inputs'!$F$40:$F$116,B98)*IF(MONTH(A98)=8,1-'Inputs'!$C$23,1)</x:f>
        <x:v>357</x:v>
      </x:c>
      <x:c r="D98" s="25" t="n">
        <x:f>D97+C98</x:f>
        <x:v>65037.499999999985</x:v>
      </x:c>
      <x:c r="E98" s="19" t="n">
        <x:f>ROUND(D98*'Inputs'!$C$30,0)-F97</x:f>
        <x:v>11</x:v>
      </x:c>
      <x:c r="F98" s="16" t="n">
        <x:f>F97+E98</x:f>
        <x:v>1926</x:v>
      </x:c>
      <x:c r="G98" s="27" t="n">
        <x:f>E98*'Inputs'!$C$5</x:f>
        <x:v>198</x:v>
      </x:c>
      <x:c r="H98" s="27" t="n">
        <x:f>'Inputs'!$C$11*'Inputs'!$C$12</x:f>
        <x:v>176</x:v>
      </x:c>
      <x:c r="I98" s="27" t="n">
        <x:f>IF(AND(DAY(A98)=1,A98&gt;'Inputs'!$C$24),'Inputs'!$C$13,0)</x:f>
        <x:v>0</x:v>
      </x:c>
      <x:c r="J98" s="27" t="n">
        <x:f>IF(DAY(A98)=1,'Inputs'!$C$14,0)</x:f>
        <x:v>0</x:v>
      </x:c>
      <x:c r="K98" s="27" t="n">
        <x:f>IF(DAY(A98)=1,'Inputs'!$C$15,0)</x:f>
        <x:v>0</x:v>
      </x:c>
      <x:c r="L98" s="27" t="n">
        <x:f>IF(DAY(A98)=1,'Inputs'!$C$16,0)</x:f>
        <x:v>0</x:v>
      </x:c>
      <x:c r="M98" s="27" t="n">
        <x:f>0</x:f>
        <x:v>0</x:v>
      </x:c>
      <x:c r="N98" s="27" t="n">
        <x:f>0</x:f>
        <x:v>0</x:v>
      </x:c>
      <x:c r="O98" s="27" t="n">
        <x:f>0</x:f>
        <x:v>0</x:v>
      </x:c>
      <x:c r="P98" s="27" t="n">
        <x:f>0</x:f>
        <x:v>0</x:v>
      </x:c>
      <x:c r="Q98" s="19" t="n">
        <x:f>ROUNDUP(MAX(0,SUM(E98:E98)-X97)/'Inputs'!$C$8,0)*'Inputs'!$C$8</x:f>
        <x:v>0</x:v>
      </x:c>
      <x:c r="R98" s="27" t="n">
        <x:f>Q98*'Inputs'!$C$7</x:f>
        <x:v>0</x:v>
      </x:c>
      <x:c r="S98" s="27" t="n">
        <x:f>G98*'Inputs'!$C$10</x:f>
        <x:v>5.9399999999999995</x:v>
      </x:c>
      <x:c r="T98" s="18" t="n">
        <x:f>SUM(H98:P98)+SUM(R98:S98)</x:f>
        <x:v>181.94</x:v>
      </x:c>
      <x:c r="U98" s="18" t="n">
        <x:f>U97+G98</x:f>
        <x:v>34668</x:v>
      </x:c>
      <x:c r="V98" s="18" t="n">
        <x:f>V97+T98</x:f>
        <x:v>34657.040000000015</x:v>
      </x:c>
      <x:c r="W98" s="18" t="n">
        <x:f>U98-V98</x:f>
        <x:v>10.959999999984575</x:v>
      </x:c>
      <x:c r="X98" s="16" t="n">
        <x:f>X97+Q98-E98</x:f>
        <x:v>24</x:v>
      </x:c>
      <x:c r="Y98" s="27" t="n">
        <x:f>0</x:f>
        <x:v>0</x:v>
      </x:c>
      <x:c r="Z98" s="27" t="n">
        <x:f>0</x:f>
        <x:v>0</x:v>
      </x:c>
      <x:c r="AA98" s="27" t="n">
        <x:f>AC97</x:f>
        <x:v>17494.9</x:v>
      </x:c>
      <x:c r="AB98" s="18" t="n">
        <x:f>AA98-T98-Y98+Z98</x:f>
        <x:v>17312.960000000003</x:v>
      </x:c>
      <x:c r="AC98" s="18" t="n">
        <x:f>AB98+G98</x:f>
        <x:v>17510.960000000003</x:v>
      </x:c>
      <x:c r="AE98" t="str">
        <x:f>TEXT(A98,"mmm d")</x:f>
        <x:v>Aug 31</x:v>
      </x:c>
      <x:c r="AF98" s="46" t="n">
        <x:f>U98</x:f>
        <x:v>34668</x:v>
      </x:c>
      <x:c r="AG98" s="46" t="n">
        <x:f>V98</x:f>
        <x:v>34657.040000000015</x:v>
      </x:c>
    </x:row>
    <x:row r="99" ht="22" customHeight="1">
      <x:c r="A99" s="28" t="n">
        <x:f>46637</x:f>
        <x:v>46637</x:v>
      </x:c>
      <x:c r="B99" s="29" t="str">
        <x:f>"Refund"</x:f>
        <x:v>Refund</x:v>
      </x:c>
      <x:c r="C99" s="30" t="n">
        <x:f>0</x:f>
        <x:v>0</x:v>
      </x:c>
      <x:c r="D99" s="31" t="n">
        <x:f>D98+C99</x:f>
        <x:v>65037.499999999985</x:v>
      </x:c>
      <x:c r="E99" s="32" t="n">
        <x:f>0</x:f>
        <x:v>0</x:v>
      </x:c>
      <x:c r="F99" s="33" t="n">
        <x:f>F98+E99</x:f>
        <x:v>1926</x:v>
      </x:c>
      <x:c r="G99" s="34" t="n">
        <x:f>E99*'Inputs'!$C$5</x:f>
        <x:v>0</x:v>
      </x:c>
      <x:c r="H99" s="34" t="n">
        <x:f>0</x:f>
        <x:v>0</x:v>
      </x:c>
      <x:c r="I99" s="34" t="n">
        <x:f>0</x:f>
        <x:v>0</x:v>
      </x:c>
      <x:c r="J99" s="34" t="n">
        <x:f>0</x:f>
        <x:v>0</x:v>
      </x:c>
      <x:c r="K99" s="34" t="n">
        <x:f>0</x:f>
        <x:v>0</x:v>
      </x:c>
      <x:c r="L99" s="34" t="n">
        <x:f>0</x:f>
        <x:v>0</x:v>
      </x:c>
      <x:c r="M99" s="34" t="n">
        <x:f>0</x:f>
        <x:v>0</x:v>
      </x:c>
      <x:c r="N99" s="34" t="n">
        <x:f>0</x:f>
        <x:v>0</x:v>
      </x:c>
      <x:c r="O99" s="34" t="n">
        <x:f>0</x:f>
        <x:v>0</x:v>
      </x:c>
      <x:c r="P99" s="34" t="n">
        <x:f>0</x:f>
        <x:v>0</x:v>
      </x:c>
      <x:c r="Q99" s="32" t="n">
        <x:f>0</x:f>
        <x:v>0</x:v>
      </x:c>
      <x:c r="R99" s="34" t="n">
        <x:f>Q99*'Inputs'!$C$7</x:f>
        <x:v>0</x:v>
      </x:c>
      <x:c r="S99" s="34" t="n">
        <x:f>G99*'Inputs'!$C$10</x:f>
        <x:v>0</x:v>
      </x:c>
      <x:c r="T99" s="35" t="n">
        <x:f>SUM(H99:P99)+SUM(R99:S99)</x:f>
        <x:v>0</x:v>
      </x:c>
      <x:c r="U99" s="35" t="n">
        <x:f>U98+G99</x:f>
        <x:v>34668</x:v>
      </x:c>
      <x:c r="V99" s="35" t="n">
        <x:f>V98+T99</x:f>
        <x:v>34657.040000000015</x:v>
      </x:c>
      <x:c r="W99" s="35" t="n">
        <x:f>U99-V99</x:f>
        <x:v>10.959999999984575</x:v>
      </x:c>
      <x:c r="X99" s="33" t="n">
        <x:f>X98+Q99-E99</x:f>
        <x:v>24</x:v>
      </x:c>
      <x:c r="Y99" s="34" t="n">
        <x:f>0</x:f>
        <x:v>0</x:v>
      </x:c>
      <x:c r="Z99" s="34" t="n">
        <x:f>'Inputs'!$C$21</x:f>
        <x:v>2500</x:v>
      </x:c>
      <x:c r="AA99" s="34" t="n">
        <x:f>AC98</x:f>
        <x:v>17510.960000000003</x:v>
      </x:c>
      <x:c r="AB99" s="35" t="n">
        <x:f>AA99-T99-Y99+Z99</x:f>
        <x:v>20010.960000000003</x:v>
      </x:c>
      <x:c r="AC99" s="35" t="n">
        <x:f>AB99+G99</x:f>
        <x:v>20010.960000000003</x:v>
      </x:c>
    </x:row>
  </x:sheetData>
  <x:conditionalFormatting sqref="W6:W99">
    <x:cfRule type="cellIs" dxfId="0" priority="1" operator="lessThan">
      <x:formula>0</x:formula>
    </x:cfRule>
  </x:conditionalFormatting>
  <x:conditionalFormatting sqref="X6:X99">
    <x:cfRule type="cellIs" dxfId="1" priority="2" operator="lessThan">
      <x:formula>0</x:formula>
    </x:cfRule>
  </x:conditionalFormatting>
  <x:conditionalFormatting sqref="AB6:AC99">
    <x:cfRule type="cellIs" dxfId="2" priority="3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393B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1" hidden="0" customWidth="1"/>
    <x:col min="3" max="3" width="19" hidden="0" customWidth="1"/>
    <x:col min="4" max="4" width="74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2"/>
      <x:c r="B2" s="3" t="str">
        <x:v>Phone accessories | inputs</x:v>
      </x:c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2"/>
      <x:c r="B4" s="7" t="str">
        <x:v>Driver</x:v>
      </x:c>
      <x:c r="C4" s="7" t="str">
        <x:v>Value</x:v>
      </x:c>
      <x:c r="D4" s="7" t="str">
        <x:v>Source / assumption</x:v>
      </x:c>
      <x:c r="E4" s="2"/>
      <x:c r="F4" s="2"/>
      <x:c r="G4" s="2"/>
      <x:c r="H4" s="2"/>
    </x:row>
    <x:row r="5" ht="34" customHeight="1">
      <x:c r="A5" s="2"/>
      <x:c r="B5" s="2" t="str">
        <x:v>Selling price</x:v>
      </x:c>
      <x:c r="C5" s="9" t="n">
        <x:v>18</x:v>
      </x:c>
      <x:c r="D5" s="20" t="str">
        <x:v>Planning assumption; shopper_survey.csv: all 25 accessories respondents state max price ≥ $18.</x:v>
      </x:c>
      <x:c r="E5" s="2"/>
      <x:c r="F5" s="2"/>
      <x:c r="G5" s="2"/>
      <x:c r="H5" s="2"/>
    </x:row>
    <x:row r="6" ht="34" customHeight="1">
      <x:c r="A6" s="2"/>
      <x:c r="B6" s="2" t="str">
        <x:v>Three-month sales target</x:v>
      </x:c>
      <x:c r="C6" s="11" t="n">
        <x:v>1926</x:v>
      </x:c>
      <x:c r="D6" s="20" t="str">
        <x:v>Planning target: minimum full-carton cash break-even at the base price. Not a demand forecast.</x:v>
      </x:c>
      <x:c r="E6" s="2"/>
      <x:c r="F6" s="2"/>
      <x:c r="G6" s="2"/>
      <x:c r="H6" s="2"/>
    </x:row>
    <x:row r="7" ht="34" customHeight="1">
      <x:c r="A7" s="2"/>
      <x:c r="B7" s="2" t="str">
        <x:v>Stock cost per item</x:v>
      </x:c>
      <x:c r="C7" s="9" t="n">
        <x:v>4</x:v>
      </x:c>
      <x:c r="D7" s="20" t="str">
        <x:v>inputs/cost_list.md — phone cases, cables and grips.</x:v>
      </x:c>
      <x:c r="E7" s="2"/>
      <x:c r="F7" s="2"/>
      <x:c r="G7" s="2"/>
      <x:c r="H7" s="2"/>
    </x:row>
    <x:row r="8" ht="34" customHeight="1">
      <x:c r="A8" s="2"/>
      <x:c r="B8" s="2" t="str">
        <x:v>Items per carton</x:v>
      </x:c>
      <x:c r="C8" s="11" t="n">
        <x:v>50</x:v>
      </x:c>
      <x:c r="D8" s="20" t="str">
        <x:v>inputs/cost_list.md — mixed cartons of 50.</x:v>
      </x:c>
      <x:c r="E8" s="2"/>
      <x:c r="F8" s="2"/>
      <x:c r="G8" s="2"/>
      <x:c r="H8" s="2"/>
    </x:row>
    <x:row r="9" ht="34" customHeight="1">
      <x:c r="A9" s="2"/>
      <x:c r="B9" s="2" t="str">
        <x:v>Opening order minimum</x:v>
      </x:c>
      <x:c r="C9" s="9" t="n">
        <x:v>1200</x:v>
      </x:c>
      <x:c r="D9" s="20" t="str">
        <x:v>inputs/cost_list.md — non-food goods.</x:v>
      </x:c>
      <x:c r="E9" s="2"/>
      <x:c r="F9" s="2"/>
      <x:c r="G9" s="2"/>
      <x:c r="H9" s="2"/>
    </x:row>
    <x:row r="10" ht="34" customHeight="1">
      <x:c r="A10" s="2"/>
      <x:c r="B10" s="2" t="str">
        <x:v>Card processing rate</x:v>
      </x:c>
      <x:c r="C10" s="13" t="n">
        <x:v>0.03</x:v>
      </x:c>
      <x:c r="D10" s="20" t="str">
        <x:v>inputs/cost_list.md — applied to all sales, conservatively.</x:v>
      </x:c>
      <x:c r="E10" s="2"/>
      <x:c r="F10" s="2"/>
      <x:c r="G10" s="2"/>
      <x:c r="H10" s="2"/>
    </x:row>
    <x:row r="11" ht="34" customHeight="1">
      <x:c r="A11" s="2"/>
      <x:c r="B11" s="2" t="str">
        <x:v>Staffed hours per day</x:v>
      </x:c>
      <x:c r="C11" s="11" t="n">
        <x:v>11</x:v>
      </x:c>
      <x:c r="D11" s="20" t="str">
        <x:v>inputs/mall_facts.md — 10 AM to 9 PM every day; one person plus included relief.</x:v>
      </x:c>
      <x:c r="E11" s="2"/>
      <x:c r="F11" s="2"/>
      <x:c r="G11" s="2"/>
      <x:c r="H11" s="2"/>
    </x:row>
    <x:row r="12" ht="34" customHeight="1">
      <x:c r="A12" s="2"/>
      <x:c r="B12" s="2" t="str">
        <x:v>Cost per staffed hour</x:v>
      </x:c>
      <x:c r="C12" s="9" t="n">
        <x:v>16</x:v>
      </x:c>
      <x:c r="D12" s="20" t="str">
        <x:v>inputs/cost_list.md — includes employer costs, breaks and relief.</x:v>
      </x:c>
      <x:c r="E12" s="2"/>
      <x:c r="F12" s="2"/>
      <x:c r="G12" s="2"/>
      <x:c r="H12" s="2"/>
    </x:row>
    <x:row r="13" ht="34" customHeight="1">
      <x:c r="A13" s="2"/>
      <x:c r="B13" s="2" t="str">
        <x:v>Monthly rent</x:v>
      </x:c>
      <x:c r="C13" s="9" t="n">
        <x:v>2500</x:v>
      </x:c>
      <x:c r="D13" s="20" t="str">
        <x:v>inputs/mall_facts.md — first rent paid before opening; then July 1 and August 1.</x:v>
      </x:c>
      <x:c r="E13" s="2"/>
      <x:c r="F13" s="2"/>
      <x:c r="G13" s="2"/>
      <x:c r="H13" s="2"/>
    </x:row>
    <x:row r="14" ht="34" customHeight="1">
      <x:c r="A14" s="2"/>
      <x:c r="B14" s="2" t="str">
        <x:v>Monthly terminal rental</x:v>
      </x:c>
      <x:c r="C14" s="9" t="n">
        <x:v>45</x:v>
      </x:c>
      <x:c r="D14" s="20" t="str">
        <x:v>inputs/cost_list.md — no setup fee.</x:v>
      </x:c>
      <x:c r="E14" s="2"/>
      <x:c r="F14" s="2"/>
      <x:c r="G14" s="2"/>
      <x:c r="H14" s="2"/>
    </x:row>
    <x:row r="15" ht="34" customHeight="1">
      <x:c r="A15" s="2"/>
      <x:c r="B15" s="2" t="str">
        <x:v>Monthly insurance</x:v>
      </x:c>
      <x:c r="C15" s="9" t="n">
        <x:v>100</x:v>
      </x:c>
      <x:c r="D15" s="20" t="str">
        <x:v>inputs/cost_list.md.</x:v>
      </x:c>
      <x:c r="E15" s="2"/>
      <x:c r="F15" s="2"/>
      <x:c r="G15" s="2"/>
      <x:c r="H15" s="2"/>
    </x:row>
    <x:row r="16" ht="34" customHeight="1">
      <x:c r="A16" s="2"/>
      <x:c r="B16" s="2" t="str">
        <x:v>Monthly cleaning / supplies</x:v>
      </x:c>
      <x:c r="C16" s="9" t="n">
        <x:v>80</x:v>
      </x:c>
      <x:c r="D16" s="20" t="str">
        <x:v>inputs/cost_list.md.</x:v>
      </x:c>
      <x:c r="E16" s="2"/>
      <x:c r="F16" s="2"/>
      <x:c r="G16" s="2"/>
      <x:c r="H16" s="2"/>
    </x:row>
    <x:row r="17" ht="34" customHeight="1">
      <x:c r="A17" s="2"/>
      <x:c r="B17" s="2" t="str">
        <x:v>Display tables and lockbox</x:v>
      </x:c>
      <x:c r="C17" s="9" t="n">
        <x:v>700</x:v>
      </x:c>
      <x:c r="D17" s="20" t="str">
        <x:v>inputs/cost_list.md — setup included; charged fully to this project.</x:v>
      </x:c>
      <x:c r="E17" s="2"/>
      <x:c r="F17" s="2"/>
      <x:c r="G17" s="2"/>
      <x:c r="H17" s="2"/>
    </x:row>
    <x:row r="18" ht="34" customHeight="1">
      <x:c r="A18" s="2"/>
      <x:c r="B18" s="2" t="str">
        <x:v>Portable sign</x:v>
      </x:c>
      <x:c r="C18" s="9" t="n">
        <x:v>150</x:v>
      </x:c>
      <x:c r="D18" s="20" t="str">
        <x:v>inputs/cost_list.md — allow two business days for mall approval.</x:v>
      </x:c>
      <x:c r="E18" s="2"/>
      <x:c r="F18" s="2"/>
      <x:c r="G18" s="2"/>
      <x:c r="H18" s="2"/>
    </x:row>
    <x:row r="19" ht="34" customHeight="1">
      <x:c r="A19" s="2"/>
      <x:c r="B19" s="2" t="str">
        <x:v>General vendor permit</x:v>
      </x:c>
      <x:c r="C19" s="9" t="n">
        <x:v>300</x:v>
      </x:c>
      <x:c r="D19" s="20" t="str">
        <x:v>inputs/cost_list.md — non-food retail.</x:v>
      </x:c>
      <x:c r="E19" s="2"/>
      <x:c r="F19" s="2"/>
      <x:c r="G19" s="2"/>
      <x:c r="H19" s="2"/>
    </x:row>
    <x:row r="20" ht="34" customHeight="1">
      <x:c r="A20" s="2"/>
      <x:c r="B20" s="2" t="str">
        <x:v>Launch promotion</x:v>
      </x:c>
      <x:c r="C20" s="9" t="n">
        <x:v>300</x:v>
      </x:c>
      <x:c r="D20" s="20" t="str">
        <x:v>inputs/cost_list.md — one local campaign; assumed selected.</x:v>
      </x:c>
      <x:c r="E20" s="2"/>
      <x:c r="F20" s="2"/>
      <x:c r="G20" s="2"/>
      <x:c r="H20" s="2"/>
    </x:row>
    <x:row r="21" ht="34" customHeight="1">
      <x:c r="A21" s="2"/>
      <x:c r="B21" s="2" t="str">
        <x:v>Refundable deposit</x:v>
      </x:c>
      <x:c r="C21" s="9" t="n">
        <x:v>2500</x:v>
      </x:c>
      <x:c r="D21" s="20" t="str">
        <x:v>inputs/cost_list.md — excluded from costs; refunded only if lease conditions met.</x:v>
      </x:c>
      <x:c r="E21" s="2"/>
      <x:c r="F21" s="2"/>
      <x:c r="G21" s="2"/>
      <x:c r="H21" s="2"/>
    </x:row>
    <x:row r="22" ht="34" customHeight="1">
      <x:c r="A22" s="2"/>
      <x:c r="B22" s="2" t="str">
        <x:v>Starting cash</x:v>
      </x:c>
      <x:c r="C22" s="9" t="n">
        <x:v>20000</x:v>
      </x:c>
      <x:c r="D22" s="20" t="str">
        <x:v>inputs/mall_facts.md — no additional borrowing.</x:v>
      </x:c>
      <x:c r="E22" s="2"/>
      <x:c r="F22" s="2"/>
      <x:c r="G22" s="2"/>
      <x:c r="H22" s="2"/>
    </x:row>
    <x:row r="23" ht="34" customHeight="1">
      <x:c r="A23" s="2"/>
      <x:c r="B23" s="2" t="str">
        <x:v>August traffic reduction</x:v>
      </x:c>
      <x:c r="C23" s="13" t="n">
        <x:v>0.3</x:v>
      </x:c>
      <x:c r="D23" s="20" t="str">
        <x:v>inputs/mall_facts.md — expected reduction after anchor closure.</x:v>
      </x:c>
      <x:c r="E23" s="2"/>
      <x:c r="F23" s="2"/>
      <x:c r="G23" s="2"/>
      <x:c r="H23" s="2"/>
    </x:row>
    <x:row r="24" ht="34" customHeight="1">
      <x:c r="A24" s="2"/>
      <x:c r="B24" s="2" t="str">
        <x:v>First trading date</x:v>
      </x:c>
      <x:c r="C24" s="15" t="n">
        <x:v>46539</x:v>
      </x:c>
      <x:c r="D24" s="20" t="str">
        <x:v>inputs/mall_facts.md — lease begins June 1, 2027.</x:v>
      </x:c>
      <x:c r="E24" s="2"/>
      <x:c r="F24" s="2"/>
      <x:c r="G24" s="2"/>
      <x:c r="H24" s="2"/>
    </x:row>
    <x:row r="25" ht="34" customHeight="1">
      <x:c r="A25" s="2"/>
      <x:c r="B25" s="2" t="str">
        <x:v>Last trading date</x:v>
      </x:c>
      <x:c r="C25" s="15" t="n">
        <x:v>46630</x:v>
      </x:c>
      <x:c r="D25" s="20" t="str">
        <x:v>inputs/mall_facts.md — exit clean by August 31; no exit charge.</x:v>
      </x:c>
      <x:c r="E25" s="2"/>
      <x:c r="F25" s="2"/>
      <x:c r="G25" s="2"/>
      <x:c r="H25" s="2"/>
    </x:row>
    <x:row r="26" ht="34" customHeight="1">
      <x:c r="A26" s="2"/>
      <x:c r="B26" s="2" t="str">
        <x:v>Deposit refund date</x:v>
      </x:c>
      <x:c r="C26" s="15" t="n">
        <x:v>46637</x:v>
      </x:c>
      <x:c r="D26" s="20" t="str">
        <x:v>inputs/cost_list.md — assumes no damage or unpaid rent.</x:v>
      </x:c>
      <x:c r="E26" s="2"/>
      <x:c r="F26" s="2"/>
      <x:c r="G26" s="2"/>
      <x:c r="H26" s="2"/>
    </x:row>
    <x:row r="27" ht="34" customHeight="1">
      <x:c r="A27" s="2"/>
      <x:c r="B27" s="2" t="str">
        <x:v>Reorder interval (days)</x:v>
      </x:c>
      <x:c r="C27" s="11" t="n">
        <x:v>7</x:v>
      </x:c>
      <x:c r="D27" s="20" t="str">
        <x:v>Weekly replenishment from inputs/cost_list.md; assumed delivered before trading every seven days.</x:v>
      </x:c>
      <x:c r="E27" s="2"/>
      <x:c r="F27" s="2"/>
      <x:c r="G27" s="2"/>
      <x:c r="H27" s="2"/>
    </x:row>
    <x:row r="28" ht="34" customHeight="1">
      <x:c r="A28" s="2"/>
      <x:c r="B28" s="2" t="str">
        <x:v>Initial stock (items)</x:v>
      </x:c>
      <x:c r="C28" s="16" t="n">
        <x:f>ROUNDUP(C9/C7/C8,0)*C8</x:f>
        <x:v>300</x:v>
      </x:c>
      <x:c r="D28" s="20" t="str">
        <x:v>Calculated: smallest whole-carton opening order meeting the dollar minimum.</x:v>
      </x:c>
      <x:c r="E28" s="2"/>
      <x:c r="F28" s="2"/>
      <x:c r="G28" s="2"/>
      <x:c r="H28" s="2"/>
    </x:row>
    <x:row r="29" ht="34" customHeight="1">
      <x:c r="A29" s="2"/>
      <x:c r="B29" s="2" t="str">
        <x:v>Projected passing visits</x:v>
      </x:c>
      <x:c r="C29" s="19" t="n">
        <x:f>SUM('Daily'!C6:C98)</x:f>
        <x:v>65037.499999999985</x:v>
      </x:c>
      <x:c r="D29" s="20" t="str">
        <x:v>Calculated from actual 2027 weekdays and May weekly pattern; August reduced 30%.</x:v>
      </x:c>
      <x:c r="E29" s="2"/>
      <x:c r="F29" s="2"/>
      <x:c r="G29" s="2"/>
      <x:c r="H29" s="2"/>
    </x:row>
    <x:row r="30" ht="34" customHeight="1">
      <x:c r="A30" s="2"/>
      <x:c r="B30" s="2" t="str">
        <x:v>Required conversion</x:v>
      </x:c>
      <x:c r="C30" s="17" t="n">
        <x:f>C6/C29</x:f>
        <x:v>0.029613684412838754</x:v>
      </x:c>
      <x:c r="D30" s="20" t="str">
        <x:v>Target sales / projected visits. One item per buying visit; repeat visits are possible.</x:v>
      </x:c>
      <x:c r="E30" s="2"/>
      <x:c r="F30" s="2"/>
      <x:c r="G30" s="2"/>
      <x:c r="H30" s="2"/>
    </x:row>
    <x:row r="31" ht="34" customHeight="1">
      <x:c r="A31" s="2"/>
      <x:c r="B31" s="2" t="str">
        <x:v>Setup cost</x:v>
      </x:c>
      <x:c r="C31" s="18" t="n">
        <x:f>SUM(C17:C20)</x:f>
        <x:v>1450</x:v>
      </x:c>
      <x:c r="D31" s="20" t="str">
        <x:v>Display tables + sign + permit + launch promotion; no assumed resale proceeds.</x:v>
      </x:c>
      <x:c r="E31" s="2"/>
      <x:c r="F31" s="2"/>
      <x:c r="G31" s="2"/>
      <x:c r="H31" s="2"/>
    </x:row>
    <x:row r="32" ht="34" customHeight="1">
      <x:c r="A32" s="2"/>
      <x:c r="B32" s="2" t="str">
        <x:v>Trading fixed costs</x:v>
      </x:c>
      <x:c r="C32" s="18" t="n">
        <x:f>(C25-C24+1)*C11*C12+(MONTH(C25)-MONTH(C24)+1)*SUM(C13:C16)</x:f>
        <x:v>24367</x:v>
      </x:c>
      <x:c r="D32" s="20" t="str">
        <x:v>Full-hours staffing plus three monthly rent / terminal / insurance / cleaning charges.</x:v>
      </x:c>
      <x:c r="E32" s="2"/>
      <x:c r="F32" s="2"/>
      <x:c r="G32" s="2"/>
      <x:c r="H32" s="2"/>
    </x:row>
    <x:row r="33" ht="34" customHeight="1">
      <x:c r="A33" s="2"/>
      <x:c r="B33" s="2"/>
      <x:c r="C33" s="2"/>
      <x:c r="D33" s="20"/>
      <x:c r="E33" s="2"/>
      <x:c r="F33" s="2"/>
      <x:c r="G33" s="2"/>
      <x:c r="H33" s="2"/>
    </x:row>
    <x:row r="34" ht="34" customHeight="1">
      <x:c r="A34" s="2"/>
      <x:c r="B34" s="2" t="str">
        <x:v>Payment timing</x:v>
      </x:c>
      <x:c r="C34" s="2" t="str"/>
      <x:c r="D34" s="20" t="str">
        <x:v>Planning assumptions: staff and card fees paid daily; other monthly charges paid on the first.</x:v>
      </x:c>
      <x:c r="E34" s="2"/>
      <x:c r="F34" s="2"/>
      <x:c r="G34" s="2"/>
      <x:c r="H34" s="2"/>
    </x:row>
    <x:row r="35" ht="34" customHeight="1">
      <x:c r="A35" s="2"/>
      <x:c r="B35" s="2" t="str">
        <x:v>Inventory timing</x:v>
      </x:c>
      <x:c r="C35" s="2" t="str"/>
      <x:c r="D35" s="20" t="str">
        <x:v>Opening order before launch; weekly orders cover the next seven days. No sale proceeds on leftover stock.</x:v>
      </x:c>
      <x:c r="E35" s="2"/>
      <x:c r="F35" s="2"/>
      <x:c r="G35" s="2"/>
      <x:c r="H35" s="2"/>
    </x:row>
    <x:row r="36" ht="34" customHeight="1">
      <x:c r="A36" s="2"/>
      <x:c r="B36" s="2" t="str">
        <x:v>Forecast basis</x:v>
      </x:c>
      <x:c r="C36" s="2" t="str"/>
      <x:c r="D36" s="20" t="str">
        <x:v>Sales are allocated by passing traffic with cumulative rounding. These are required sales, not verified demand.</x:v>
      </x:c>
      <x:c r="E36" s="2"/>
      <x:c r="F36" s="2"/>
      <x:c r="G36" s="2"/>
      <x:c r="H36" s="2"/>
    </x:row>
    <x:row r="37" ht="22" customHeight="1">
      <x:c r="A37" s="2"/>
      <x:c r="B37" s="2"/>
      <x:c r="C37" s="2"/>
      <x:c r="D37" s="2"/>
      <x:c r="E37" s="2"/>
      <x:c r="F37" s="2" t="str">
        <x:v>Source: inputs/foot_traffic.csv — May 2027 typical week, corridor beside Unit 42.</x:v>
      </x:c>
      <x:c r="G37" s="2"/>
      <x:c r="H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</x:row>
    <x:row r="39" ht="32" customHeight="1">
      <x:c r="A39" s="2"/>
      <x:c r="B39" s="2"/>
      <x:c r="C39" s="2"/>
      <x:c r="D39" s="2"/>
      <x:c r="E39" s="2"/>
      <x:c r="F39" s="7" t="str">
        <x:v>Weekday</x:v>
      </x:c>
      <x:c r="G39" s="7" t="str">
        <x:v>Hour starting</x:v>
      </x:c>
      <x:c r="H39" s="7" t="str">
        <x:v>Passing visits</x:v>
      </x:c>
    </x:row>
    <x:row r="40" ht="22" customHeight="1">
      <x:c r="A40" s="2"/>
      <x:c r="B40" s="2"/>
      <x:c r="C40" s="2"/>
      <x:c r="D40" s="2"/>
      <x:c r="E40" s="2"/>
      <x:c r="F40" s="2" t="str">
        <x:v>Monday</x:v>
      </x:c>
      <x:c r="G40" s="2" t="str">
        <x:v>10:00</x:v>
      </x:c>
      <x:c r="H40" s="12" t="n">
        <x:v>28</x:v>
      </x:c>
    </x:row>
    <x:row r="41" ht="22" customHeight="1">
      <x:c r="A41" s="2"/>
      <x:c r="B41" s="2"/>
      <x:c r="C41" s="2"/>
      <x:c r="D41" s="2"/>
      <x:c r="E41" s="2"/>
      <x:c r="F41" s="2" t="str">
        <x:v>Monday</x:v>
      </x:c>
      <x:c r="G41" s="2" t="str">
        <x:v>11:00</x:v>
      </x:c>
      <x:c r="H41" s="12" t="n">
        <x:v>34</x:v>
      </x:c>
    </x:row>
    <x:row r="42" ht="22" customHeight="1">
      <x:c r="A42" s="2"/>
      <x:c r="B42" s="2"/>
      <x:c r="C42" s="2"/>
      <x:c r="D42" s="2"/>
      <x:c r="E42" s="2"/>
      <x:c r="F42" s="2" t="str">
        <x:v>Monday</x:v>
      </x:c>
      <x:c r="G42" s="2" t="str">
        <x:v>12:00</x:v>
      </x:c>
      <x:c r="H42" s="12" t="n">
        <x:v>46</x:v>
      </x:c>
    </x:row>
    <x:row r="43" ht="22" customHeight="1">
      <x:c r="A43" s="2"/>
      <x:c r="B43" s="2"/>
      <x:c r="C43" s="2"/>
      <x:c r="D43" s="2"/>
      <x:c r="E43" s="2"/>
      <x:c r="F43" s="2" t="str">
        <x:v>Monday</x:v>
      </x:c>
      <x:c r="G43" s="2" t="str">
        <x:v>13:00</x:v>
      </x:c>
      <x:c r="H43" s="12" t="n">
        <x:v>42</x:v>
      </x:c>
    </x:row>
    <x:row r="44" ht="22" customHeight="1">
      <x:c r="A44" s="2"/>
      <x:c r="B44" s="2"/>
      <x:c r="C44" s="2"/>
      <x:c r="D44" s="2"/>
      <x:c r="E44" s="2"/>
      <x:c r="F44" s="2" t="str">
        <x:v>Monday</x:v>
      </x:c>
      <x:c r="G44" s="2" t="str">
        <x:v>14:00</x:v>
      </x:c>
      <x:c r="H44" s="12" t="n">
        <x:v>40</x:v>
      </x:c>
    </x:row>
    <x:row r="45" ht="22" customHeight="1">
      <x:c r="A45" s="2"/>
      <x:c r="B45" s="2"/>
      <x:c r="C45" s="2"/>
      <x:c r="D45" s="2"/>
      <x:c r="E45" s="2"/>
      <x:c r="F45" s="2" t="str">
        <x:v>Monday</x:v>
      </x:c>
      <x:c r="G45" s="2" t="str">
        <x:v>15:00</x:v>
      </x:c>
      <x:c r="H45" s="12" t="n">
        <x:v>38</x:v>
      </x:c>
    </x:row>
    <x:row r="46" ht="22" customHeight="1">
      <x:c r="A46" s="2"/>
      <x:c r="B46" s="2"/>
      <x:c r="C46" s="2"/>
      <x:c r="D46" s="2"/>
      <x:c r="E46" s="2"/>
      <x:c r="F46" s="2" t="str">
        <x:v>Monday</x:v>
      </x:c>
      <x:c r="G46" s="2" t="str">
        <x:v>16:00</x:v>
      </x:c>
      <x:c r="H46" s="12" t="n">
        <x:v>44</x:v>
      </x:c>
    </x:row>
    <x:row r="47" ht="22" customHeight="1">
      <x:c r="A47" s="2"/>
      <x:c r="B47" s="2"/>
      <x:c r="C47" s="2"/>
      <x:c r="D47" s="2"/>
      <x:c r="E47" s="2"/>
      <x:c r="F47" s="2" t="str">
        <x:v>Monday</x:v>
      </x:c>
      <x:c r="G47" s="2" t="str">
        <x:v>17:00</x:v>
      </x:c>
      <x:c r="H47" s="12" t="n">
        <x:v>59</x:v>
      </x:c>
    </x:row>
    <x:row r="48" ht="22" customHeight="1">
      <x:c r="A48" s="2"/>
      <x:c r="B48" s="2"/>
      <x:c r="C48" s="2"/>
      <x:c r="D48" s="2"/>
      <x:c r="E48" s="2"/>
      <x:c r="F48" s="2" t="str">
        <x:v>Monday</x:v>
      </x:c>
      <x:c r="G48" s="2" t="str">
        <x:v>18:00</x:v>
      </x:c>
      <x:c r="H48" s="12" t="n">
        <x:v>71</x:v>
      </x:c>
    </x:row>
    <x:row r="49" ht="22" customHeight="1">
      <x:c r="A49" s="2"/>
      <x:c r="B49" s="2"/>
      <x:c r="C49" s="2"/>
      <x:c r="D49" s="2"/>
      <x:c r="E49" s="2"/>
      <x:c r="F49" s="2" t="str">
        <x:v>Monday</x:v>
      </x:c>
      <x:c r="G49" s="2" t="str">
        <x:v>19:00</x:v>
      </x:c>
      <x:c r="H49" s="12" t="n">
        <x:v>54</x:v>
      </x:c>
    </x:row>
    <x:row r="50" ht="22" customHeight="1">
      <x:c r="A50" s="2"/>
      <x:c r="B50" s="2"/>
      <x:c r="C50" s="2"/>
      <x:c r="D50" s="2"/>
      <x:c r="E50" s="2"/>
      <x:c r="F50" s="2" t="str">
        <x:v>Monday</x:v>
      </x:c>
      <x:c r="G50" s="2" t="str">
        <x:v>20:00</x:v>
      </x:c>
      <x:c r="H50" s="12" t="n">
        <x:v>32</x:v>
      </x:c>
    </x:row>
    <x:row r="51" ht="22" customHeight="1">
      <x:c r="A51" s="2"/>
      <x:c r="B51" s="2"/>
      <x:c r="C51" s="2"/>
      <x:c r="D51" s="2"/>
      <x:c r="E51" s="2"/>
      <x:c r="F51" s="2" t="str">
        <x:v>Tuesday</x:v>
      </x:c>
      <x:c r="G51" s="2" t="str">
        <x:v>10:00</x:v>
      </x:c>
      <x:c r="H51" s="12" t="n">
        <x:v>30</x:v>
      </x:c>
    </x:row>
    <x:row r="52" ht="22" customHeight="1">
      <x:c r="A52" s="2"/>
      <x:c r="B52" s="2"/>
      <x:c r="C52" s="2"/>
      <x:c r="D52" s="2"/>
      <x:c r="E52" s="2"/>
      <x:c r="F52" s="2" t="str">
        <x:v>Tuesday</x:v>
      </x:c>
      <x:c r="G52" s="2" t="str">
        <x:v>11:00</x:v>
      </x:c>
      <x:c r="H52" s="12" t="n">
        <x:v>36</x:v>
      </x:c>
    </x:row>
    <x:row r="53" ht="22" customHeight="1">
      <x:c r="A53" s="2"/>
      <x:c r="B53" s="2"/>
      <x:c r="C53" s="2"/>
      <x:c r="D53" s="2"/>
      <x:c r="E53" s="2"/>
      <x:c r="F53" s="2" t="str">
        <x:v>Tuesday</x:v>
      </x:c>
      <x:c r="G53" s="2" t="str">
        <x:v>12:00</x:v>
      </x:c>
      <x:c r="H53" s="12" t="n">
        <x:v>48</x:v>
      </x:c>
    </x:row>
    <x:row r="54" ht="22" customHeight="1">
      <x:c r="A54" s="2"/>
      <x:c r="B54" s="2"/>
      <x:c r="C54" s="2"/>
      <x:c r="D54" s="2"/>
      <x:c r="E54" s="2"/>
      <x:c r="F54" s="2" t="str">
        <x:v>Tuesday</x:v>
      </x:c>
      <x:c r="G54" s="2" t="str">
        <x:v>13:00</x:v>
      </x:c>
      <x:c r="H54" s="12" t="n">
        <x:v>44</x:v>
      </x:c>
    </x:row>
    <x:row r="55" ht="22" customHeight="1">
      <x:c r="A55" s="2"/>
      <x:c r="B55" s="2"/>
      <x:c r="C55" s="2"/>
      <x:c r="D55" s="2"/>
      <x:c r="E55" s="2"/>
      <x:c r="F55" s="2" t="str">
        <x:v>Tuesday</x:v>
      </x:c>
      <x:c r="G55" s="2" t="str">
        <x:v>14:00</x:v>
      </x:c>
      <x:c r="H55" s="12" t="n">
        <x:v>42</x:v>
      </x:c>
    </x:row>
    <x:row r="56" ht="22" customHeight="1">
      <x:c r="A56" s="2"/>
      <x:c r="B56" s="2"/>
      <x:c r="C56" s="2"/>
      <x:c r="D56" s="2"/>
      <x:c r="E56" s="2"/>
      <x:c r="F56" s="2" t="str">
        <x:v>Tuesday</x:v>
      </x:c>
      <x:c r="G56" s="2" t="str">
        <x:v>15:00</x:v>
      </x:c>
      <x:c r="H56" s="12" t="n">
        <x:v>40</x:v>
      </x:c>
    </x:row>
    <x:row r="57" ht="22" customHeight="1">
      <x:c r="A57" s="2"/>
      <x:c r="B57" s="2"/>
      <x:c r="C57" s="2"/>
      <x:c r="D57" s="2"/>
      <x:c r="E57" s="2"/>
      <x:c r="F57" s="2" t="str">
        <x:v>Tuesday</x:v>
      </x:c>
      <x:c r="G57" s="2" t="str">
        <x:v>16:00</x:v>
      </x:c>
      <x:c r="H57" s="12" t="n">
        <x:v>46</x:v>
      </x:c>
    </x:row>
    <x:row r="58" ht="22" customHeight="1">
      <x:c r="A58" s="2"/>
      <x:c r="B58" s="2"/>
      <x:c r="C58" s="2"/>
      <x:c r="D58" s="2"/>
      <x:c r="E58" s="2"/>
      <x:c r="F58" s="2" t="str">
        <x:v>Tuesday</x:v>
      </x:c>
      <x:c r="G58" s="2" t="str">
        <x:v>17:00</x:v>
      </x:c>
      <x:c r="H58" s="12" t="n">
        <x:v>61</x:v>
      </x:c>
    </x:row>
    <x:row r="59" ht="22" customHeight="1">
      <x:c r="A59" s="2"/>
      <x:c r="B59" s="2"/>
      <x:c r="C59" s="2"/>
      <x:c r="D59" s="2"/>
      <x:c r="E59" s="2"/>
      <x:c r="F59" s="2" t="str">
        <x:v>Tuesday</x:v>
      </x:c>
      <x:c r="G59" s="2" t="str">
        <x:v>18:00</x:v>
      </x:c>
      <x:c r="H59" s="12" t="n">
        <x:v>73</x:v>
      </x:c>
    </x:row>
    <x:row r="60" ht="22" customHeight="1">
      <x:c r="A60" s="2"/>
      <x:c r="B60" s="2"/>
      <x:c r="C60" s="2"/>
      <x:c r="D60" s="2"/>
      <x:c r="E60" s="2"/>
      <x:c r="F60" s="2" t="str">
        <x:v>Tuesday</x:v>
      </x:c>
      <x:c r="G60" s="2" t="str">
        <x:v>19:00</x:v>
      </x:c>
      <x:c r="H60" s="12" t="n">
        <x:v>56</x:v>
      </x:c>
    </x:row>
    <x:row r="61" ht="22" customHeight="1">
      <x:c r="A61" s="2"/>
      <x:c r="B61" s="2"/>
      <x:c r="C61" s="2"/>
      <x:c r="D61" s="2"/>
      <x:c r="E61" s="2"/>
      <x:c r="F61" s="2" t="str">
        <x:v>Tuesday</x:v>
      </x:c>
      <x:c r="G61" s="2" t="str">
        <x:v>20:00</x:v>
      </x:c>
      <x:c r="H61" s="12" t="n">
        <x:v>34</x:v>
      </x:c>
    </x:row>
    <x:row r="62" ht="22" customHeight="1">
      <x:c r="A62" s="2"/>
      <x:c r="B62" s="2"/>
      <x:c r="C62" s="2"/>
      <x:c r="D62" s="2"/>
      <x:c r="E62" s="2"/>
      <x:c r="F62" s="2" t="str">
        <x:v>Wednesday</x:v>
      </x:c>
      <x:c r="G62" s="2" t="str">
        <x:v>10:00</x:v>
      </x:c>
      <x:c r="H62" s="12" t="n">
        <x:v>28</x:v>
      </x:c>
    </x:row>
    <x:row r="63" ht="22" customHeight="1">
      <x:c r="A63" s="2"/>
      <x:c r="B63" s="2"/>
      <x:c r="C63" s="2"/>
      <x:c r="D63" s="2"/>
      <x:c r="E63" s="2"/>
      <x:c r="F63" s="2" t="str">
        <x:v>Wednesday</x:v>
      </x:c>
      <x:c r="G63" s="2" t="str">
        <x:v>11:00</x:v>
      </x:c>
      <x:c r="H63" s="12" t="n">
        <x:v>34</x:v>
      </x:c>
    </x:row>
    <x:row r="64" ht="22" customHeight="1">
      <x:c r="A64" s="2"/>
      <x:c r="B64" s="2"/>
      <x:c r="C64" s="2"/>
      <x:c r="D64" s="2"/>
      <x:c r="E64" s="2"/>
      <x:c r="F64" s="2" t="str">
        <x:v>Wednesday</x:v>
      </x:c>
      <x:c r="G64" s="2" t="str">
        <x:v>12:00</x:v>
      </x:c>
      <x:c r="H64" s="12" t="n">
        <x:v>46</x:v>
      </x:c>
    </x:row>
    <x:row r="65" ht="22" customHeight="1">
      <x:c r="A65" s="2"/>
      <x:c r="B65" s="2"/>
      <x:c r="C65" s="2"/>
      <x:c r="D65" s="2"/>
      <x:c r="E65" s="2"/>
      <x:c r="F65" s="2" t="str">
        <x:v>Wednesday</x:v>
      </x:c>
      <x:c r="G65" s="2" t="str">
        <x:v>13:00</x:v>
      </x:c>
      <x:c r="H65" s="12" t="n">
        <x:v>42</x:v>
      </x:c>
    </x:row>
    <x:row r="66" ht="22" customHeight="1">
      <x:c r="A66" s="2"/>
      <x:c r="B66" s="2"/>
      <x:c r="C66" s="2"/>
      <x:c r="D66" s="2"/>
      <x:c r="E66" s="2"/>
      <x:c r="F66" s="2" t="str">
        <x:v>Wednesday</x:v>
      </x:c>
      <x:c r="G66" s="2" t="str">
        <x:v>14:00</x:v>
      </x:c>
      <x:c r="H66" s="12" t="n">
        <x:v>40</x:v>
      </x:c>
    </x:row>
    <x:row r="67" ht="22" customHeight="1">
      <x:c r="A67" s="2"/>
      <x:c r="B67" s="2"/>
      <x:c r="C67" s="2"/>
      <x:c r="D67" s="2"/>
      <x:c r="E67" s="2"/>
      <x:c r="F67" s="2" t="str">
        <x:v>Wednesday</x:v>
      </x:c>
      <x:c r="G67" s="2" t="str">
        <x:v>15:00</x:v>
      </x:c>
      <x:c r="H67" s="12" t="n">
        <x:v>38</x:v>
      </x:c>
    </x:row>
    <x:row r="68" ht="22" customHeight="1">
      <x:c r="A68" s="2"/>
      <x:c r="B68" s="2"/>
      <x:c r="C68" s="2"/>
      <x:c r="D68" s="2"/>
      <x:c r="E68" s="2"/>
      <x:c r="F68" s="2" t="str">
        <x:v>Wednesday</x:v>
      </x:c>
      <x:c r="G68" s="2" t="str">
        <x:v>16:00</x:v>
      </x:c>
      <x:c r="H68" s="12" t="n">
        <x:v>44</x:v>
      </x:c>
    </x:row>
    <x:row r="69" ht="22" customHeight="1">
      <x:c r="A69" s="2"/>
      <x:c r="B69" s="2"/>
      <x:c r="C69" s="2"/>
      <x:c r="D69" s="2"/>
      <x:c r="E69" s="2"/>
      <x:c r="F69" s="2" t="str">
        <x:v>Wednesday</x:v>
      </x:c>
      <x:c r="G69" s="2" t="str">
        <x:v>17:00</x:v>
      </x:c>
      <x:c r="H69" s="12" t="n">
        <x:v>59</x:v>
      </x:c>
    </x:row>
    <x:row r="70" ht="22" customHeight="1">
      <x:c r="A70" s="2"/>
      <x:c r="B70" s="2"/>
      <x:c r="C70" s="2"/>
      <x:c r="D70" s="2"/>
      <x:c r="E70" s="2"/>
      <x:c r="F70" s="2" t="str">
        <x:v>Wednesday</x:v>
      </x:c>
      <x:c r="G70" s="2" t="str">
        <x:v>18:00</x:v>
      </x:c>
      <x:c r="H70" s="12" t="n">
        <x:v>71</x:v>
      </x:c>
    </x:row>
    <x:row r="71" ht="22" customHeight="1">
      <x:c r="A71" s="2"/>
      <x:c r="B71" s="2"/>
      <x:c r="C71" s="2"/>
      <x:c r="D71" s="2"/>
      <x:c r="E71" s="2"/>
      <x:c r="F71" s="2" t="str">
        <x:v>Wednesday</x:v>
      </x:c>
      <x:c r="G71" s="2" t="str">
        <x:v>19:00</x:v>
      </x:c>
      <x:c r="H71" s="12" t="n">
        <x:v>54</x:v>
      </x:c>
    </x:row>
    <x:row r="72" ht="22" customHeight="1">
      <x:c r="A72" s="2"/>
      <x:c r="B72" s="2"/>
      <x:c r="C72" s="2"/>
      <x:c r="D72" s="2"/>
      <x:c r="E72" s="2"/>
      <x:c r="F72" s="2" t="str">
        <x:v>Wednesday</x:v>
      </x:c>
      <x:c r="G72" s="2" t="str">
        <x:v>20:00</x:v>
      </x:c>
      <x:c r="H72" s="12" t="n">
        <x:v>32</x:v>
      </x:c>
    </x:row>
    <x:row r="73" ht="22" customHeight="1">
      <x:c r="A73" s="2"/>
      <x:c r="B73" s="2"/>
      <x:c r="C73" s="2"/>
      <x:c r="D73" s="2"/>
      <x:c r="E73" s="2"/>
      <x:c r="F73" s="2" t="str">
        <x:v>Thursday</x:v>
      </x:c>
      <x:c r="G73" s="2" t="str">
        <x:v>10:00</x:v>
      </x:c>
      <x:c r="H73" s="12" t="n">
        <x:v>28</x:v>
      </x:c>
    </x:row>
    <x:row r="74" ht="22" customHeight="1">
      <x:c r="A74" s="2"/>
      <x:c r="B74" s="2"/>
      <x:c r="C74" s="2"/>
      <x:c r="D74" s="2"/>
      <x:c r="E74" s="2"/>
      <x:c r="F74" s="2" t="str">
        <x:v>Thursday</x:v>
      </x:c>
      <x:c r="G74" s="2" t="str">
        <x:v>11:00</x:v>
      </x:c>
      <x:c r="H74" s="12" t="n">
        <x:v>34</x:v>
      </x:c>
    </x:row>
    <x:row r="75" ht="22" customHeight="1">
      <x:c r="A75" s="2"/>
      <x:c r="B75" s="2"/>
      <x:c r="C75" s="2"/>
      <x:c r="D75" s="2"/>
      <x:c r="E75" s="2"/>
      <x:c r="F75" s="2" t="str">
        <x:v>Thursday</x:v>
      </x:c>
      <x:c r="G75" s="2" t="str">
        <x:v>12:00</x:v>
      </x:c>
      <x:c r="H75" s="12" t="n">
        <x:v>46</x:v>
      </x:c>
    </x:row>
    <x:row r="76" ht="22" customHeight="1">
      <x:c r="A76" s="2"/>
      <x:c r="B76" s="2"/>
      <x:c r="C76" s="2"/>
      <x:c r="D76" s="2"/>
      <x:c r="E76" s="2"/>
      <x:c r="F76" s="2" t="str">
        <x:v>Thursday</x:v>
      </x:c>
      <x:c r="G76" s="2" t="str">
        <x:v>13:00</x:v>
      </x:c>
      <x:c r="H76" s="12" t="n">
        <x:v>42</x:v>
      </x:c>
    </x:row>
    <x:row r="77" ht="22" customHeight="1">
      <x:c r="A77" s="2"/>
      <x:c r="B77" s="2"/>
      <x:c r="C77" s="2"/>
      <x:c r="D77" s="2"/>
      <x:c r="E77" s="2"/>
      <x:c r="F77" s="2" t="str">
        <x:v>Thursday</x:v>
      </x:c>
      <x:c r="G77" s="2" t="str">
        <x:v>14:00</x:v>
      </x:c>
      <x:c r="H77" s="12" t="n">
        <x:v>40</x:v>
      </x:c>
    </x:row>
    <x:row r="78" ht="22" customHeight="1">
      <x:c r="A78" s="2"/>
      <x:c r="B78" s="2"/>
      <x:c r="C78" s="2"/>
      <x:c r="D78" s="2"/>
      <x:c r="E78" s="2"/>
      <x:c r="F78" s="2" t="str">
        <x:v>Thursday</x:v>
      </x:c>
      <x:c r="G78" s="2" t="str">
        <x:v>15:00</x:v>
      </x:c>
      <x:c r="H78" s="12" t="n">
        <x:v>38</x:v>
      </x:c>
    </x:row>
    <x:row r="79" ht="22" customHeight="1">
      <x:c r="A79" s="2"/>
      <x:c r="B79" s="2"/>
      <x:c r="C79" s="2"/>
      <x:c r="D79" s="2"/>
      <x:c r="E79" s="2"/>
      <x:c r="F79" s="2" t="str">
        <x:v>Thursday</x:v>
      </x:c>
      <x:c r="G79" s="2" t="str">
        <x:v>16:00</x:v>
      </x:c>
      <x:c r="H79" s="12" t="n">
        <x:v>44</x:v>
      </x:c>
    </x:row>
    <x:row r="80" ht="22" customHeight="1">
      <x:c r="A80" s="2"/>
      <x:c r="B80" s="2"/>
      <x:c r="C80" s="2"/>
      <x:c r="D80" s="2"/>
      <x:c r="E80" s="2"/>
      <x:c r="F80" s="2" t="str">
        <x:v>Thursday</x:v>
      </x:c>
      <x:c r="G80" s="2" t="str">
        <x:v>17:00</x:v>
      </x:c>
      <x:c r="H80" s="12" t="n">
        <x:v>59</x:v>
      </x:c>
    </x:row>
    <x:row r="81" ht="22" customHeight="1">
      <x:c r="A81" s="2"/>
      <x:c r="B81" s="2"/>
      <x:c r="C81" s="2"/>
      <x:c r="D81" s="2"/>
      <x:c r="E81" s="2"/>
      <x:c r="F81" s="2" t="str">
        <x:v>Thursday</x:v>
      </x:c>
      <x:c r="G81" s="2" t="str">
        <x:v>18:00</x:v>
      </x:c>
      <x:c r="H81" s="12" t="n">
        <x:v>71</x:v>
      </x:c>
    </x:row>
    <x:row r="82" ht="22" customHeight="1">
      <x:c r="A82" s="2"/>
      <x:c r="B82" s="2"/>
      <x:c r="C82" s="2"/>
      <x:c r="D82" s="2"/>
      <x:c r="E82" s="2"/>
      <x:c r="F82" s="2" t="str">
        <x:v>Thursday</x:v>
      </x:c>
      <x:c r="G82" s="2" t="str">
        <x:v>19:00</x:v>
      </x:c>
      <x:c r="H82" s="12" t="n">
        <x:v>54</x:v>
      </x:c>
    </x:row>
    <x:row r="83" ht="22" customHeight="1">
      <x:c r="A83" s="2"/>
      <x:c r="B83" s="2"/>
      <x:c r="C83" s="2"/>
      <x:c r="D83" s="2"/>
      <x:c r="E83" s="2"/>
      <x:c r="F83" s="2" t="str">
        <x:v>Thursday</x:v>
      </x:c>
      <x:c r="G83" s="2" t="str">
        <x:v>20:00</x:v>
      </x:c>
      <x:c r="H83" s="12" t="n">
        <x:v>32</x:v>
      </x:c>
    </x:row>
    <x:row r="84" ht="22" customHeight="1">
      <x:c r="A84" s="2"/>
      <x:c r="B84" s="2"/>
      <x:c r="C84" s="2"/>
      <x:c r="D84" s="2"/>
      <x:c r="E84" s="2"/>
      <x:c r="F84" s="2" t="str">
        <x:v>Friday</x:v>
      </x:c>
      <x:c r="G84" s="2" t="str">
        <x:v>10:00</x:v>
      </x:c>
      <x:c r="H84" s="12" t="n">
        <x:v>35</x:v>
      </x:c>
    </x:row>
    <x:row r="85" ht="22" customHeight="1">
      <x:c r="A85" s="2"/>
      <x:c r="B85" s="2"/>
      <x:c r="C85" s="2"/>
      <x:c r="D85" s="2"/>
      <x:c r="E85" s="2"/>
      <x:c r="F85" s="2" t="str">
        <x:v>Friday</x:v>
      </x:c>
      <x:c r="G85" s="2" t="str">
        <x:v>11:00</x:v>
      </x:c>
      <x:c r="H85" s="12" t="n">
        <x:v>41</x:v>
      </x:c>
    </x:row>
    <x:row r="86" ht="22" customHeight="1">
      <x:c r="A86" s="2"/>
      <x:c r="B86" s="2"/>
      <x:c r="C86" s="2"/>
      <x:c r="D86" s="2"/>
      <x:c r="E86" s="2"/>
      <x:c r="F86" s="2" t="str">
        <x:v>Friday</x:v>
      </x:c>
      <x:c r="G86" s="2" t="str">
        <x:v>12:00</x:v>
      </x:c>
      <x:c r="H86" s="12" t="n">
        <x:v>53</x:v>
      </x:c>
    </x:row>
    <x:row r="87" ht="22" customHeight="1">
      <x:c r="A87" s="2"/>
      <x:c r="B87" s="2"/>
      <x:c r="C87" s="2"/>
      <x:c r="D87" s="2"/>
      <x:c r="E87" s="2"/>
      <x:c r="F87" s="2" t="str">
        <x:v>Friday</x:v>
      </x:c>
      <x:c r="G87" s="2" t="str">
        <x:v>13:00</x:v>
      </x:c>
      <x:c r="H87" s="12" t="n">
        <x:v>49</x:v>
      </x:c>
    </x:row>
    <x:row r="88" ht="22" customHeight="1">
      <x:c r="A88" s="2"/>
      <x:c r="B88" s="2"/>
      <x:c r="C88" s="2"/>
      <x:c r="D88" s="2"/>
      <x:c r="E88" s="2"/>
      <x:c r="F88" s="2" t="str">
        <x:v>Friday</x:v>
      </x:c>
      <x:c r="G88" s="2" t="str">
        <x:v>14:00</x:v>
      </x:c>
      <x:c r="H88" s="12" t="n">
        <x:v>47</x:v>
      </x:c>
    </x:row>
    <x:row r="89" ht="22" customHeight="1">
      <x:c r="A89" s="2"/>
      <x:c r="B89" s="2"/>
      <x:c r="C89" s="2"/>
      <x:c r="D89" s="2"/>
      <x:c r="E89" s="2"/>
      <x:c r="F89" s="2" t="str">
        <x:v>Friday</x:v>
      </x:c>
      <x:c r="G89" s="2" t="str">
        <x:v>15:00</x:v>
      </x:c>
      <x:c r="H89" s="12" t="n">
        <x:v>45</x:v>
      </x:c>
    </x:row>
    <x:row r="90" ht="22" customHeight="1">
      <x:c r="A90" s="2"/>
      <x:c r="B90" s="2"/>
      <x:c r="C90" s="2"/>
      <x:c r="D90" s="2"/>
      <x:c r="E90" s="2"/>
      <x:c r="F90" s="2" t="str">
        <x:v>Friday</x:v>
      </x:c>
      <x:c r="G90" s="2" t="str">
        <x:v>16:00</x:v>
      </x:c>
      <x:c r="H90" s="12" t="n">
        <x:v>51</x:v>
      </x:c>
    </x:row>
    <x:row r="91" ht="22" customHeight="1">
      <x:c r="A91" s="2"/>
      <x:c r="B91" s="2"/>
      <x:c r="C91" s="2"/>
      <x:c r="D91" s="2"/>
      <x:c r="E91" s="2"/>
      <x:c r="F91" s="2" t="str">
        <x:v>Friday</x:v>
      </x:c>
      <x:c r="G91" s="2" t="str">
        <x:v>17:00</x:v>
      </x:c>
      <x:c r="H91" s="12" t="n">
        <x:v>66</x:v>
      </x:c>
    </x:row>
    <x:row r="92" ht="22" customHeight="1">
      <x:c r="A92" s="2"/>
      <x:c r="B92" s="2"/>
      <x:c r="C92" s="2"/>
      <x:c r="D92" s="2"/>
      <x:c r="E92" s="2"/>
      <x:c r="F92" s="2" t="str">
        <x:v>Friday</x:v>
      </x:c>
      <x:c r="G92" s="2" t="str">
        <x:v>18:00</x:v>
      </x:c>
      <x:c r="H92" s="12" t="n">
        <x:v>78</x:v>
      </x:c>
    </x:row>
    <x:row r="93" ht="22" customHeight="1">
      <x:c r="A93" s="2"/>
      <x:c r="B93" s="2"/>
      <x:c r="C93" s="2"/>
      <x:c r="D93" s="2"/>
      <x:c r="E93" s="2"/>
      <x:c r="F93" s="2" t="str">
        <x:v>Friday</x:v>
      </x:c>
      <x:c r="G93" s="2" t="str">
        <x:v>19:00</x:v>
      </x:c>
      <x:c r="H93" s="12" t="n">
        <x:v>61</x:v>
      </x:c>
    </x:row>
    <x:row r="94" ht="22" customHeight="1">
      <x:c r="A94" s="2"/>
      <x:c r="B94" s="2"/>
      <x:c r="C94" s="2"/>
      <x:c r="D94" s="2"/>
      <x:c r="E94" s="2"/>
      <x:c r="F94" s="2" t="str">
        <x:v>Friday</x:v>
      </x:c>
      <x:c r="G94" s="2" t="str">
        <x:v>20:00</x:v>
      </x:c>
      <x:c r="H94" s="12" t="n">
        <x:v>39</x:v>
      </x:c>
    </x:row>
    <x:row r="95" ht="22" customHeight="1">
      <x:c r="A95" s="2"/>
      <x:c r="B95" s="2"/>
      <x:c r="C95" s="2"/>
      <x:c r="D95" s="2"/>
      <x:c r="E95" s="2"/>
      <x:c r="F95" s="2" t="str">
        <x:v>Saturday</x:v>
      </x:c>
      <x:c r="G95" s="2" t="str">
        <x:v>10:00</x:v>
      </x:c>
      <x:c r="H95" s="12" t="n">
        <x:v>70</x:v>
      </x:c>
    </x:row>
    <x:row r="96" ht="22" customHeight="1">
      <x:c r="A96" s="2"/>
      <x:c r="B96" s="2"/>
      <x:c r="C96" s="2"/>
      <x:c r="D96" s="2"/>
      <x:c r="E96" s="2"/>
      <x:c r="F96" s="2" t="str">
        <x:v>Saturday</x:v>
      </x:c>
      <x:c r="G96" s="2" t="str">
        <x:v>11:00</x:v>
      </x:c>
      <x:c r="H96" s="12" t="n">
        <x:v>108</x:v>
      </x:c>
    </x:row>
    <x:row r="97" ht="22" customHeight="1">
      <x:c r="A97" s="2"/>
      <x:c r="B97" s="2"/>
      <x:c r="C97" s="2"/>
      <x:c r="D97" s="2"/>
      <x:c r="E97" s="2"/>
      <x:c r="F97" s="2" t="str">
        <x:v>Saturday</x:v>
      </x:c>
      <x:c r="G97" s="2" t="str">
        <x:v>12:00</x:v>
      </x:c>
      <x:c r="H97" s="12" t="n">
        <x:v>148</x:v>
      </x:c>
    </x:row>
    <x:row r="98" ht="22" customHeight="1">
      <x:c r="A98" s="2"/>
      <x:c r="B98" s="2"/>
      <x:c r="C98" s="2"/>
      <x:c r="D98" s="2"/>
      <x:c r="E98" s="2"/>
      <x:c r="F98" s="2" t="str">
        <x:v>Saturday</x:v>
      </x:c>
      <x:c r="G98" s="2" t="str">
        <x:v>13:00</x:v>
      </x:c>
      <x:c r="H98" s="12" t="n">
        <x:v>176</x:v>
      </x:c>
    </x:row>
    <x:row r="99" ht="22" customHeight="1">
      <x:c r="A99" s="2"/>
      <x:c r="B99" s="2"/>
      <x:c r="C99" s="2"/>
      <x:c r="D99" s="2"/>
      <x:c r="E99" s="2"/>
      <x:c r="F99" s="2" t="str">
        <x:v>Saturday</x:v>
      </x:c>
      <x:c r="G99" s="2" t="str">
        <x:v>14:00</x:v>
      </x:c>
      <x:c r="H99" s="12" t="n">
        <x:v>184</x:v>
      </x:c>
    </x:row>
    <x:row r="100" ht="22" customHeight="1">
      <x:c r="A100" s="2"/>
      <x:c r="B100" s="2"/>
      <x:c r="C100" s="2"/>
      <x:c r="D100" s="2"/>
      <x:c r="E100" s="2"/>
      <x:c r="F100" s="2" t="str">
        <x:v>Saturday</x:v>
      </x:c>
      <x:c r="G100" s="2" t="str">
        <x:v>15:00</x:v>
      </x:c>
      <x:c r="H100" s="12" t="n">
        <x:v>180</x:v>
      </x:c>
    </x:row>
    <x:row r="101" ht="22" customHeight="1">
      <x:c r="A101" s="2"/>
      <x:c r="B101" s="2"/>
      <x:c r="C101" s="2"/>
      <x:c r="D101" s="2"/>
      <x:c r="E101" s="2"/>
      <x:c r="F101" s="2" t="str">
        <x:v>Saturday</x:v>
      </x:c>
      <x:c r="G101" s="2" t="str">
        <x:v>16:00</x:v>
      </x:c>
      <x:c r="H101" s="12" t="n">
        <x:v>172</x:v>
      </x:c>
    </x:row>
    <x:row r="102" ht="22" customHeight="1">
      <x:c r="A102" s="2"/>
      <x:c r="B102" s="2"/>
      <x:c r="C102" s="2"/>
      <x:c r="D102" s="2"/>
      <x:c r="E102" s="2"/>
      <x:c r="F102" s="2" t="str">
        <x:v>Saturday</x:v>
      </x:c>
      <x:c r="G102" s="2" t="str">
        <x:v>17:00</x:v>
      </x:c>
      <x:c r="H102" s="12" t="n">
        <x:v>164</x:v>
      </x:c>
    </x:row>
    <x:row r="103" ht="22" customHeight="1">
      <x:c r="A103" s="2"/>
      <x:c r="B103" s="2"/>
      <x:c r="C103" s="2"/>
      <x:c r="D103" s="2"/>
      <x:c r="E103" s="2"/>
      <x:c r="F103" s="2" t="str">
        <x:v>Saturday</x:v>
      </x:c>
      <x:c r="G103" s="2" t="str">
        <x:v>18:00</x:v>
      </x:c>
      <x:c r="H103" s="12" t="n">
        <x:v>140</x:v>
      </x:c>
    </x:row>
    <x:row r="104" ht="22" customHeight="1">
      <x:c r="A104" s="2"/>
      <x:c r="B104" s="2"/>
      <x:c r="C104" s="2"/>
      <x:c r="D104" s="2"/>
      <x:c r="E104" s="2"/>
      <x:c r="F104" s="2" t="str">
        <x:v>Saturday</x:v>
      </x:c>
      <x:c r="G104" s="2" t="str">
        <x:v>19:00</x:v>
      </x:c>
      <x:c r="H104" s="12" t="n">
        <x:v>111</x:v>
      </x:c>
    </x:row>
    <x:row r="105" ht="22" customHeight="1">
      <x:c r="A105" s="2"/>
      <x:c r="B105" s="2"/>
      <x:c r="C105" s="2"/>
      <x:c r="D105" s="2"/>
      <x:c r="E105" s="2"/>
      <x:c r="F105" s="2" t="str">
        <x:v>Saturday</x:v>
      </x:c>
      <x:c r="G105" s="2" t="str">
        <x:v>20:00</x:v>
      </x:c>
      <x:c r="H105" s="12" t="n">
        <x:v>76</x:v>
      </x:c>
    </x:row>
    <x:row r="106" ht="22" customHeight="1">
      <x:c r="A106" s="2"/>
      <x:c r="B106" s="2"/>
      <x:c r="C106" s="2"/>
      <x:c r="D106" s="2"/>
      <x:c r="E106" s="2"/>
      <x:c r="F106" s="2" t="str">
        <x:v>Sunday</x:v>
      </x:c>
      <x:c r="G106" s="2" t="str">
        <x:v>10:00</x:v>
      </x:c>
      <x:c r="H106" s="12" t="n">
        <x:v>64</x:v>
      </x:c>
    </x:row>
    <x:row r="107" ht="22" customHeight="1">
      <x:c r="A107" s="2"/>
      <x:c r="B107" s="2"/>
      <x:c r="C107" s="2"/>
      <x:c r="D107" s="2"/>
      <x:c r="E107" s="2"/>
      <x:c r="F107" s="2" t="str">
        <x:v>Sunday</x:v>
      </x:c>
      <x:c r="G107" s="2" t="str">
        <x:v>11:00</x:v>
      </x:c>
      <x:c r="H107" s="12" t="n">
        <x:v>102</x:v>
      </x:c>
    </x:row>
    <x:row r="108" ht="22" customHeight="1">
      <x:c r="A108" s="2"/>
      <x:c r="B108" s="2"/>
      <x:c r="C108" s="2"/>
      <x:c r="D108" s="2"/>
      <x:c r="E108" s="2"/>
      <x:c r="F108" s="2" t="str">
        <x:v>Sunday</x:v>
      </x:c>
      <x:c r="G108" s="2" t="str">
        <x:v>12:00</x:v>
      </x:c>
      <x:c r="H108" s="12" t="n">
        <x:v>142</x:v>
      </x:c>
    </x:row>
    <x:row r="109" ht="22" customHeight="1">
      <x:c r="A109" s="2"/>
      <x:c r="B109" s="2"/>
      <x:c r="C109" s="2"/>
      <x:c r="D109" s="2"/>
      <x:c r="E109" s="2"/>
      <x:c r="F109" s="2" t="str">
        <x:v>Sunday</x:v>
      </x:c>
      <x:c r="G109" s="2" t="str">
        <x:v>13:00</x:v>
      </x:c>
      <x:c r="H109" s="12" t="n">
        <x:v>170</x:v>
      </x:c>
    </x:row>
    <x:row r="110" ht="22" customHeight="1">
      <x:c r="A110" s="2"/>
      <x:c r="B110" s="2"/>
      <x:c r="C110" s="2"/>
      <x:c r="D110" s="2"/>
      <x:c r="E110" s="2"/>
      <x:c r="F110" s="2" t="str">
        <x:v>Sunday</x:v>
      </x:c>
      <x:c r="G110" s="2" t="str">
        <x:v>14:00</x:v>
      </x:c>
      <x:c r="H110" s="12" t="n">
        <x:v>178</x:v>
      </x:c>
    </x:row>
    <x:row r="111" ht="22" customHeight="1">
      <x:c r="A111" s="2"/>
      <x:c r="B111" s="2"/>
      <x:c r="C111" s="2"/>
      <x:c r="D111" s="2"/>
      <x:c r="E111" s="2"/>
      <x:c r="F111" s="2" t="str">
        <x:v>Sunday</x:v>
      </x:c>
      <x:c r="G111" s="2" t="str">
        <x:v>15:00</x:v>
      </x:c>
      <x:c r="H111" s="12" t="n">
        <x:v>174</x:v>
      </x:c>
    </x:row>
    <x:row r="112" ht="22" customHeight="1">
      <x:c r="A112" s="2"/>
      <x:c r="B112" s="2"/>
      <x:c r="C112" s="2"/>
      <x:c r="D112" s="2"/>
      <x:c r="E112" s="2"/>
      <x:c r="F112" s="2" t="str">
        <x:v>Sunday</x:v>
      </x:c>
      <x:c r="G112" s="2" t="str">
        <x:v>16:00</x:v>
      </x:c>
      <x:c r="H112" s="12" t="n">
        <x:v>166</x:v>
      </x:c>
    </x:row>
    <x:row r="113" ht="22" customHeight="1">
      <x:c r="A113" s="2"/>
      <x:c r="B113" s="2"/>
      <x:c r="C113" s="2"/>
      <x:c r="D113" s="2"/>
      <x:c r="E113" s="2"/>
      <x:c r="F113" s="2" t="str">
        <x:v>Sunday</x:v>
      </x:c>
      <x:c r="G113" s="2" t="str">
        <x:v>17:00</x:v>
      </x:c>
      <x:c r="H113" s="12" t="n">
        <x:v>158</x:v>
      </x:c>
    </x:row>
    <x:row r="114" ht="22" customHeight="1">
      <x:c r="A114" s="2"/>
      <x:c r="B114" s="2"/>
      <x:c r="C114" s="2"/>
      <x:c r="D114" s="2"/>
      <x:c r="E114" s="2"/>
      <x:c r="F114" s="2" t="str">
        <x:v>Sunday</x:v>
      </x:c>
      <x:c r="G114" s="2" t="str">
        <x:v>18:00</x:v>
      </x:c>
      <x:c r="H114" s="12" t="n">
        <x:v>134</x:v>
      </x:c>
    </x:row>
    <x:row r="115" ht="22" customHeight="1">
      <x:c r="A115" s="2"/>
      <x:c r="B115" s="2"/>
      <x:c r="C115" s="2"/>
      <x:c r="D115" s="2"/>
      <x:c r="E115" s="2"/>
      <x:c r="F115" s="2" t="str">
        <x:v>Sunday</x:v>
      </x:c>
      <x:c r="G115" s="2" t="str">
        <x:v>19:00</x:v>
      </x:c>
      <x:c r="H115" s="12" t="n">
        <x:v>105</x:v>
      </x:c>
    </x:row>
    <x:row r="116" ht="22" customHeight="1">
      <x:c r="A116" s="2"/>
      <x:c r="B116" s="2"/>
      <x:c r="C116" s="2"/>
      <x:c r="D116" s="2"/>
      <x:c r="E116" s="2"/>
      <x:c r="F116" s="2" t="str">
        <x:v>Sunday</x:v>
      </x:c>
      <x:c r="G116" s="2" t="str">
        <x:v>20:00</x:v>
      </x:c>
      <x:c r="H116" s="12" t="n">
        <x:v>70</x:v>
      </x:c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</x:row>
  </x:sheetData>
  <x:pageMargins left="0.7" right="0.7" top="0.75" bottom="0.75" header="0.3" footer="0.3"/>
</x:worksheet>
</file>